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3fe6e1701840021/Documents/_Omistukset/General model of value addition/0-DocumentationEducationCompetense/"/>
    </mc:Choice>
  </mc:AlternateContent>
  <xr:revisionPtr revIDLastSave="34" documentId="8_{83434DCC-FF0A-4F8F-B4D3-7E7022F8FBE8}" xr6:coauthVersionLast="47" xr6:coauthVersionMax="47" xr10:uidLastSave="{4D496617-5461-4323-B18E-31A926A5847F}"/>
  <bookViews>
    <workbookView xWindow="-120" yWindow="-120" windowWidth="29040" windowHeight="15840" tabRatio="833" xr2:uid="{73DF05EB-16D8-474A-ADF4-0EFCDA502DA4}"/>
  </bookViews>
  <sheets>
    <sheet name="StartPage" sheetId="26" r:id="rId1"/>
    <sheet name="Management" sheetId="13" r:id="rId2"/>
    <sheet name="Competence" sheetId="12" r:id="rId3"/>
    <sheet name="Organization" sheetId="11" r:id="rId4"/>
    <sheet name="Product" sheetId="23" r:id="rId5"/>
    <sheet name="Product-SuppFunc" sheetId="14" r:id="rId6"/>
    <sheet name="Product-Platform" sheetId="10" r:id="rId7"/>
    <sheet name="Product-ApplPlatf" sheetId="9" r:id="rId8"/>
    <sheet name="Product-Appl" sheetId="8" r:id="rId9"/>
    <sheet name="Product-User" sheetId="16" r:id="rId10"/>
    <sheet name="Org.Support" sheetId="21" r:id="rId11"/>
    <sheet name="Org.Sales" sheetId="20" r:id="rId12"/>
    <sheet name="Org.Deployment" sheetId="19" r:id="rId13"/>
    <sheet name="Org.TechGrps" sheetId="18" r:id="rId14"/>
    <sheet name="Org.Dev" sheetId="17" r:id="rId15"/>
    <sheet name="Org.Research" sheetId="22" r:id="rId16"/>
    <sheet name="Budget 2001" sheetId="25" r:id="rId17"/>
    <sheet name=" Budget 2002" sheetId="6" r:id="rId18"/>
    <sheet name="Budget 2003" sheetId="7" r:id="rId19"/>
    <sheet name="Time-Line" sheetId="4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7" l="1"/>
  <c r="H5" i="7"/>
  <c r="H6" i="7"/>
  <c r="H8" i="7"/>
  <c r="H9" i="7"/>
  <c r="H10" i="7"/>
  <c r="H11" i="7"/>
  <c r="H12" i="7"/>
  <c r="H15" i="7" s="1"/>
  <c r="H13" i="7"/>
  <c r="H14" i="7"/>
  <c r="H5" i="6"/>
  <c r="H15" i="6" s="1"/>
  <c r="H6" i="6"/>
  <c r="H8" i="6"/>
  <c r="H9" i="6"/>
  <c r="H10" i="6"/>
  <c r="H11" i="6"/>
  <c r="H12" i="6"/>
  <c r="H13" i="6"/>
  <c r="H5" i="25"/>
  <c r="H6" i="25"/>
  <c r="H8" i="25"/>
  <c r="H9" i="25"/>
  <c r="H10" i="25"/>
  <c r="H11" i="25"/>
  <c r="H12" i="25"/>
  <c r="H15" i="25"/>
</calcChain>
</file>

<file path=xl/sharedStrings.xml><?xml version="1.0" encoding="utf-8"?>
<sst xmlns="http://schemas.openxmlformats.org/spreadsheetml/2006/main" count="248" uniqueCount="35">
  <si>
    <t>time-line</t>
  </si>
  <si>
    <t>online</t>
  </si>
  <si>
    <t>1h</t>
  </si>
  <si>
    <t>1d</t>
  </si>
  <si>
    <t>1w</t>
  </si>
  <si>
    <t>6months</t>
  </si>
  <si>
    <t>1y</t>
  </si>
  <si>
    <t>2y</t>
  </si>
  <si>
    <t>Sales</t>
  </si>
  <si>
    <t>Support (HelpDesk)</t>
  </si>
  <si>
    <t>4h</t>
  </si>
  <si>
    <t>Research</t>
  </si>
  <si>
    <t>Development</t>
  </si>
  <si>
    <t>Technology Groups</t>
  </si>
  <si>
    <t>Support Functions</t>
  </si>
  <si>
    <t>1month</t>
  </si>
  <si>
    <t>Platform</t>
  </si>
  <si>
    <t>Application</t>
  </si>
  <si>
    <t>End-User</t>
  </si>
  <si>
    <t>Production Management</t>
  </si>
  <si>
    <t>CED= Documentation, Education, Competence</t>
  </si>
  <si>
    <t>Product</t>
  </si>
  <si>
    <t>Application Platform</t>
  </si>
  <si>
    <t>Deployment</t>
  </si>
  <si>
    <t>units</t>
  </si>
  <si>
    <t>Budget 2001</t>
  </si>
  <si>
    <t>summary</t>
  </si>
  <si>
    <t>costs / â</t>
  </si>
  <si>
    <t>income / â</t>
  </si>
  <si>
    <t>Budget 2002</t>
  </si>
  <si>
    <t>Budget 2003</t>
  </si>
  <si>
    <t>© 2001 Endero Plc / Tomi Lind  15.08.2001</t>
  </si>
  <si>
    <t>Generic Model of Value Addition</t>
  </si>
  <si>
    <t>© 2026 Tomi Lind (tomi@lind.fi)</t>
  </si>
  <si>
    <t>Original publication "Hosting Business-theme"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</si>
</sst>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10"/>
      <color indexed="10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sz val="64"/>
      <name val="Times New Roman"/>
      <family val="1"/>
    </font>
    <font>
      <sz val="42"/>
      <name val="Times New Roman"/>
      <family val="1"/>
    </font>
    <font>
      <sz val="18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darkHorizontal">
        <bgColor indexed="9"/>
      </patternFill>
    </fill>
    <fill>
      <patternFill patternType="darkDown">
        <bgColor indexed="9"/>
      </patternFill>
    </fill>
    <fill>
      <patternFill patternType="darkVertical">
        <bgColor indexed="9"/>
      </patternFill>
    </fill>
    <fill>
      <patternFill patternType="darkUp">
        <bgColor indexed="9"/>
      </patternFill>
    </fill>
    <fill>
      <patternFill patternType="lightHorizontal">
        <bgColor indexed="9"/>
      </patternFill>
    </fill>
    <fill>
      <patternFill patternType="lightDown">
        <bgColor indexed="9"/>
      </patternFill>
    </fill>
    <fill>
      <patternFill patternType="lightUp">
        <fgColor indexed="23"/>
        <bgColor indexed="9"/>
      </patternFill>
    </fill>
    <fill>
      <patternFill patternType="solid">
        <fgColor indexed="22"/>
        <bgColor indexed="64"/>
      </patternFill>
    </fill>
    <fill>
      <patternFill patternType="darkUp">
        <fgColor indexed="22"/>
        <bgColor indexed="9"/>
      </patternFill>
    </fill>
    <fill>
      <patternFill patternType="solid">
        <fgColor indexed="8"/>
        <bgColor indexed="64"/>
      </patternFill>
    </fill>
  </fills>
  <borders count="8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tted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0" fillId="0" borderId="6" xfId="0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2" xfId="0" applyFill="1" applyBorder="1"/>
    <xf numFmtId="0" fontId="0" fillId="5" borderId="13" xfId="0" applyFill="1" applyBorder="1"/>
    <xf numFmtId="0" fontId="0" fillId="5" borderId="0" xfId="0" applyFill="1"/>
    <xf numFmtId="0" fontId="0" fillId="6" borderId="14" xfId="0" applyFill="1" applyBorder="1"/>
    <xf numFmtId="0" fontId="0" fillId="7" borderId="14" xfId="0" applyFill="1" applyBorder="1"/>
    <xf numFmtId="0" fontId="0" fillId="7" borderId="15" xfId="0" applyFill="1" applyBorder="1"/>
    <xf numFmtId="0" fontId="0" fillId="8" borderId="16" xfId="0" applyFill="1" applyBorder="1"/>
    <xf numFmtId="0" fontId="0" fillId="6" borderId="17" xfId="0" applyFill="1" applyBorder="1"/>
    <xf numFmtId="0" fontId="0" fillId="9" borderId="0" xfId="0" applyFill="1"/>
    <xf numFmtId="0" fontId="0" fillId="0" borderId="18" xfId="0" applyBorder="1"/>
    <xf numFmtId="0" fontId="0" fillId="0" borderId="10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3" fillId="0" borderId="0" xfId="0" applyFont="1"/>
    <xf numFmtId="3" fontId="0" fillId="0" borderId="0" xfId="0" applyNumberFormat="1"/>
    <xf numFmtId="0" fontId="1" fillId="2" borderId="26" xfId="0" applyFont="1" applyFill="1" applyBorder="1"/>
    <xf numFmtId="0" fontId="0" fillId="8" borderId="27" xfId="0" applyFill="1" applyBorder="1"/>
    <xf numFmtId="0" fontId="0" fillId="0" borderId="15" xfId="0" applyBorder="1"/>
    <xf numFmtId="0" fontId="1" fillId="0" borderId="0" xfId="0" applyFont="1"/>
    <xf numFmtId="0" fontId="0" fillId="0" borderId="29" xfId="0" applyBorder="1"/>
    <xf numFmtId="0" fontId="0" fillId="0" borderId="13" xfId="0" applyBorder="1"/>
    <xf numFmtId="0" fontId="0" fillId="0" borderId="30" xfId="0" applyBorder="1"/>
    <xf numFmtId="0" fontId="1" fillId="0" borderId="19" xfId="0" applyFont="1" applyBorder="1"/>
    <xf numFmtId="0" fontId="1" fillId="0" borderId="2" xfId="0" applyFont="1" applyBorder="1"/>
    <xf numFmtId="0" fontId="5" fillId="2" borderId="5" xfId="0" applyFont="1" applyFill="1" applyBorder="1"/>
    <xf numFmtId="0" fontId="0" fillId="3" borderId="6" xfId="0" applyFill="1" applyBorder="1"/>
    <xf numFmtId="0" fontId="3" fillId="0" borderId="31" xfId="0" applyFont="1" applyBorder="1"/>
    <xf numFmtId="0" fontId="0" fillId="0" borderId="14" xfId="0" applyBorder="1"/>
    <xf numFmtId="0" fontId="1" fillId="2" borderId="32" xfId="0" applyFont="1" applyFill="1" applyBorder="1"/>
    <xf numFmtId="0" fontId="0" fillId="6" borderId="7" xfId="0" applyFill="1" applyBorder="1"/>
    <xf numFmtId="0" fontId="3" fillId="0" borderId="15" xfId="0" applyFont="1" applyBorder="1"/>
    <xf numFmtId="0" fontId="0" fillId="0" borderId="33" xfId="0" applyBorder="1"/>
    <xf numFmtId="0" fontId="4" fillId="10" borderId="34" xfId="0" applyFont="1" applyFill="1" applyBorder="1"/>
    <xf numFmtId="0" fontId="4" fillId="10" borderId="35" xfId="0" applyFont="1" applyFill="1" applyBorder="1"/>
    <xf numFmtId="0" fontId="4" fillId="10" borderId="36" xfId="0" applyFont="1" applyFill="1" applyBorder="1"/>
    <xf numFmtId="0" fontId="3" fillId="10" borderId="35" xfId="0" applyFont="1" applyFill="1" applyBorder="1"/>
    <xf numFmtId="0" fontId="3" fillId="0" borderId="37" xfId="0" applyFont="1" applyBorder="1"/>
    <xf numFmtId="0" fontId="3" fillId="0" borderId="38" xfId="0" applyFont="1" applyBorder="1"/>
    <xf numFmtId="0" fontId="3" fillId="0" borderId="39" xfId="0" applyFont="1" applyBorder="1"/>
    <xf numFmtId="0" fontId="1" fillId="2" borderId="41" xfId="0" applyFont="1" applyFill="1" applyBorder="1"/>
    <xf numFmtId="0" fontId="5" fillId="2" borderId="41" xfId="0" applyFont="1" applyFill="1" applyBorder="1"/>
    <xf numFmtId="0" fontId="0" fillId="0" borderId="40" xfId="0" applyBorder="1"/>
    <xf numFmtId="0" fontId="1" fillId="2" borderId="44" xfId="0" applyFont="1" applyFill="1" applyBorder="1"/>
    <xf numFmtId="0" fontId="3" fillId="0" borderId="10" xfId="0" applyFont="1" applyBorder="1"/>
    <xf numFmtId="0" fontId="3" fillId="0" borderId="18" xfId="0" applyFont="1" applyBorder="1"/>
    <xf numFmtId="0" fontId="1" fillId="2" borderId="45" xfId="0" applyFont="1" applyFill="1" applyBorder="1"/>
    <xf numFmtId="0" fontId="1" fillId="2" borderId="46" xfId="0" applyFont="1" applyFill="1" applyBorder="1"/>
    <xf numFmtId="0" fontId="1" fillId="2" borderId="47" xfId="0" applyFont="1" applyFill="1" applyBorder="1"/>
    <xf numFmtId="0" fontId="0" fillId="0" borderId="48" xfId="0" applyBorder="1"/>
    <xf numFmtId="0" fontId="0" fillId="0" borderId="42" xfId="0" applyBorder="1"/>
    <xf numFmtId="0" fontId="0" fillId="0" borderId="28" xfId="0" applyBorder="1"/>
    <xf numFmtId="0" fontId="0" fillId="0" borderId="49" xfId="0" applyBorder="1"/>
    <xf numFmtId="0" fontId="3" fillId="0" borderId="49" xfId="0" applyFont="1" applyBorder="1"/>
    <xf numFmtId="0" fontId="0" fillId="6" borderId="50" xfId="0" applyFill="1" applyBorder="1"/>
    <xf numFmtId="0" fontId="4" fillId="11" borderId="17" xfId="0" applyFont="1" applyFill="1" applyBorder="1"/>
    <xf numFmtId="0" fontId="0" fillId="7" borderId="40" xfId="0" applyFill="1" applyBorder="1"/>
    <xf numFmtId="0" fontId="0" fillId="7" borderId="12" xfId="0" applyFill="1" applyBorder="1"/>
    <xf numFmtId="0" fontId="0" fillId="7" borderId="10" xfId="0" applyFill="1" applyBorder="1"/>
    <xf numFmtId="0" fontId="0" fillId="9" borderId="42" xfId="0" applyFill="1" applyBorder="1"/>
    <xf numFmtId="3" fontId="0" fillId="0" borderId="51" xfId="0" applyNumberFormat="1" applyBorder="1" applyAlignment="1">
      <alignment horizontal="right"/>
    </xf>
    <xf numFmtId="3" fontId="0" fillId="0" borderId="52" xfId="0" applyNumberFormat="1" applyBorder="1" applyAlignment="1">
      <alignment horizontal="right"/>
    </xf>
    <xf numFmtId="3" fontId="3" fillId="0" borderId="52" xfId="0" applyNumberFormat="1" applyFont="1" applyBorder="1" applyAlignment="1">
      <alignment horizontal="right"/>
    </xf>
    <xf numFmtId="3" fontId="4" fillId="0" borderId="52" xfId="0" applyNumberFormat="1" applyFont="1" applyBorder="1" applyAlignment="1">
      <alignment horizontal="right"/>
    </xf>
    <xf numFmtId="3" fontId="0" fillId="0" borderId="53" xfId="0" applyNumberFormat="1" applyBorder="1" applyAlignment="1">
      <alignment horizontal="right"/>
    </xf>
    <xf numFmtId="0" fontId="6" fillId="12" borderId="54" xfId="0" applyFont="1" applyFill="1" applyBorder="1" applyAlignment="1">
      <alignment horizontal="center"/>
    </xf>
    <xf numFmtId="0" fontId="6" fillId="12" borderId="55" xfId="0" applyFont="1" applyFill="1" applyBorder="1" applyAlignment="1">
      <alignment horizontal="center"/>
    </xf>
    <xf numFmtId="0" fontId="6" fillId="12" borderId="56" xfId="0" applyFont="1" applyFill="1" applyBorder="1" applyAlignment="1">
      <alignment horizontal="center"/>
    </xf>
    <xf numFmtId="3" fontId="4" fillId="0" borderId="51" xfId="0" applyNumberFormat="1" applyFont="1" applyBorder="1" applyAlignment="1">
      <alignment horizontal="right"/>
    </xf>
    <xf numFmtId="3" fontId="3" fillId="0" borderId="51" xfId="0" applyNumberFormat="1" applyFont="1" applyBorder="1" applyAlignment="1">
      <alignment horizontal="right"/>
    </xf>
    <xf numFmtId="3" fontId="4" fillId="0" borderId="53" xfId="0" applyNumberFormat="1" applyFont="1" applyBorder="1" applyAlignment="1">
      <alignment horizontal="right"/>
    </xf>
    <xf numFmtId="3" fontId="3" fillId="0" borderId="53" xfId="0" applyNumberFormat="1" applyFont="1" applyBorder="1" applyAlignment="1">
      <alignment horizontal="right"/>
    </xf>
    <xf numFmtId="3" fontId="0" fillId="0" borderId="57" xfId="0" applyNumberFormat="1" applyBorder="1" applyAlignment="1">
      <alignment horizontal="right"/>
    </xf>
    <xf numFmtId="0" fontId="4" fillId="10" borderId="58" xfId="0" applyFont="1" applyFill="1" applyBorder="1"/>
    <xf numFmtId="3" fontId="0" fillId="0" borderId="59" xfId="0" applyNumberFormat="1" applyBorder="1" applyAlignment="1">
      <alignment horizontal="right"/>
    </xf>
    <xf numFmtId="3" fontId="4" fillId="0" borderId="59" xfId="0" applyNumberFormat="1" applyFont="1" applyBorder="1" applyAlignment="1">
      <alignment horizontal="right"/>
    </xf>
    <xf numFmtId="0" fontId="3" fillId="0" borderId="17" xfId="0" applyFont="1" applyBorder="1"/>
    <xf numFmtId="3" fontId="0" fillId="0" borderId="17" xfId="0" applyNumberFormat="1" applyBorder="1" applyAlignment="1">
      <alignment horizontal="right"/>
    </xf>
    <xf numFmtId="3" fontId="3" fillId="0" borderId="17" xfId="0" applyNumberFormat="1" applyFont="1" applyBorder="1" applyAlignment="1">
      <alignment horizontal="right"/>
    </xf>
    <xf numFmtId="0" fontId="3" fillId="0" borderId="20" xfId="0" applyFont="1" applyBorder="1"/>
    <xf numFmtId="3" fontId="3" fillId="0" borderId="59" xfId="0" applyNumberFormat="1" applyFont="1" applyBorder="1" applyAlignment="1">
      <alignment horizontal="right"/>
    </xf>
    <xf numFmtId="0" fontId="4" fillId="10" borderId="17" xfId="0" applyFont="1" applyFill="1" applyBorder="1"/>
    <xf numFmtId="3" fontId="0" fillId="0" borderId="60" xfId="0" applyNumberFormat="1" applyBorder="1" applyAlignment="1">
      <alignment horizontal="right"/>
    </xf>
    <xf numFmtId="3" fontId="3" fillId="0" borderId="57" xfId="0" applyNumberFormat="1" applyFont="1" applyBorder="1" applyAlignment="1">
      <alignment horizontal="right"/>
    </xf>
    <xf numFmtId="3" fontId="0" fillId="0" borderId="61" xfId="0" applyNumberFormat="1" applyBorder="1" applyAlignment="1">
      <alignment horizontal="right"/>
    </xf>
    <xf numFmtId="3" fontId="4" fillId="0" borderId="57" xfId="0" applyNumberFormat="1" applyFont="1" applyBorder="1" applyAlignment="1">
      <alignment horizontal="right"/>
    </xf>
    <xf numFmtId="3" fontId="4" fillId="0" borderId="60" xfId="0" applyNumberFormat="1" applyFont="1" applyBorder="1" applyAlignment="1">
      <alignment horizontal="right"/>
    </xf>
    <xf numFmtId="3" fontId="4" fillId="0" borderId="61" xfId="0" applyNumberFormat="1" applyFont="1" applyBorder="1" applyAlignment="1">
      <alignment horizontal="right"/>
    </xf>
    <xf numFmtId="3" fontId="2" fillId="0" borderId="62" xfId="0" applyNumberFormat="1" applyFont="1" applyBorder="1"/>
    <xf numFmtId="3" fontId="2" fillId="0" borderId="33" xfId="0" applyNumberFormat="1" applyFont="1" applyBorder="1"/>
    <xf numFmtId="0" fontId="0" fillId="0" borderId="17" xfId="0" applyBorder="1"/>
    <xf numFmtId="0" fontId="0" fillId="0" borderId="69" xfId="0" applyBorder="1"/>
    <xf numFmtId="0" fontId="0" fillId="0" borderId="66" xfId="0" applyBorder="1"/>
    <xf numFmtId="0" fontId="1" fillId="0" borderId="70" xfId="0" applyFont="1" applyBorder="1"/>
    <xf numFmtId="0" fontId="0" fillId="0" borderId="73" xfId="0" applyBorder="1"/>
    <xf numFmtId="0" fontId="5" fillId="2" borderId="74" xfId="0" applyFont="1" applyFill="1" applyBorder="1"/>
    <xf numFmtId="0" fontId="0" fillId="3" borderId="19" xfId="0" applyFill="1" applyBorder="1"/>
    <xf numFmtId="0" fontId="0" fillId="0" borderId="64" xfId="0" applyBorder="1"/>
    <xf numFmtId="0" fontId="0" fillId="0" borderId="75" xfId="0" applyBorder="1"/>
    <xf numFmtId="0" fontId="0" fillId="0" borderId="76" xfId="0" applyBorder="1"/>
    <xf numFmtId="0" fontId="0" fillId="0" borderId="77" xfId="0" applyBorder="1"/>
    <xf numFmtId="0" fontId="3" fillId="0" borderId="73" xfId="0" applyFont="1" applyBorder="1"/>
    <xf numFmtId="0" fontId="1" fillId="2" borderId="78" xfId="0" applyFont="1" applyFill="1" applyBorder="1"/>
    <xf numFmtId="0" fontId="0" fillId="0" borderId="38" xfId="0" applyBorder="1"/>
    <xf numFmtId="0" fontId="0" fillId="0" borderId="39" xfId="0" applyBorder="1"/>
    <xf numFmtId="0" fontId="7" fillId="12" borderId="37" xfId="0" applyFont="1" applyFill="1" applyBorder="1"/>
    <xf numFmtId="0" fontId="0" fillId="0" borderId="79" xfId="0" applyBorder="1"/>
    <xf numFmtId="0" fontId="0" fillId="0" borderId="80" xfId="0" applyBorder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center" vertical="center"/>
    </xf>
    <xf numFmtId="0" fontId="0" fillId="0" borderId="18" xfId="0" applyBorder="1" applyAlignment="1">
      <alignment vertical="top" textRotation="90"/>
    </xf>
    <xf numFmtId="0" fontId="0" fillId="0" borderId="18" xfId="0" applyBorder="1" applyAlignment="1">
      <alignment horizontal="center" vertical="center"/>
    </xf>
    <xf numFmtId="0" fontId="3" fillId="0" borderId="22" xfId="0" applyFont="1" applyBorder="1" applyAlignment="1">
      <alignment vertical="top" textRotation="90"/>
    </xf>
    <xf numFmtId="0" fontId="3" fillId="0" borderId="23" xfId="0" applyFont="1" applyBorder="1" applyAlignment="1">
      <alignment vertical="top" textRotation="90"/>
    </xf>
    <xf numFmtId="0" fontId="3" fillId="0" borderId="24" xfId="0" applyFont="1" applyBorder="1" applyAlignment="1">
      <alignment vertical="top" textRotation="90"/>
    </xf>
    <xf numFmtId="0" fontId="0" fillId="0" borderId="13" xfId="0" applyBorder="1" applyAlignment="1">
      <alignment horizontal="center" vertical="center"/>
    </xf>
    <xf numFmtId="0" fontId="4" fillId="0" borderId="29" xfId="0" applyFont="1" applyBorder="1" applyAlignment="1">
      <alignment vertical="top" textRotation="90"/>
    </xf>
    <xf numFmtId="0" fontId="4" fillId="0" borderId="13" xfId="0" applyFont="1" applyBorder="1" applyAlignment="1">
      <alignment vertical="top" textRotation="90"/>
    </xf>
    <xf numFmtId="0" fontId="4" fillId="0" borderId="30" xfId="0" applyFont="1" applyBorder="1" applyAlignment="1">
      <alignment vertical="top" textRotation="90"/>
    </xf>
    <xf numFmtId="0" fontId="4" fillId="0" borderId="63" xfId="0" applyFont="1" applyBorder="1" applyAlignment="1">
      <alignment vertical="top" textRotation="90"/>
    </xf>
    <xf numFmtId="0" fontId="4" fillId="0" borderId="28" xfId="0" applyFont="1" applyBorder="1" applyAlignment="1">
      <alignment vertical="top" textRotation="90"/>
    </xf>
    <xf numFmtId="0" fontId="4" fillId="0" borderId="64" xfId="0" applyFont="1" applyBorder="1" applyAlignment="1">
      <alignment vertical="top" textRotation="90"/>
    </xf>
    <xf numFmtId="0" fontId="3" fillId="0" borderId="38" xfId="0" applyFont="1" applyBorder="1" applyAlignment="1">
      <alignment horizontal="center" vertical="center"/>
    </xf>
    <xf numFmtId="0" fontId="0" fillId="0" borderId="65" xfId="0" applyBorder="1" applyAlignment="1">
      <alignment vertical="top" textRotation="90"/>
    </xf>
    <xf numFmtId="0" fontId="0" fillId="0" borderId="67" xfId="0" applyBorder="1" applyAlignment="1">
      <alignment vertical="top" textRotation="90"/>
    </xf>
    <xf numFmtId="0" fontId="0" fillId="0" borderId="68" xfId="0" applyBorder="1" applyAlignment="1">
      <alignment vertical="top" textRotation="90"/>
    </xf>
    <xf numFmtId="0" fontId="0" fillId="0" borderId="66" xfId="0" applyBorder="1" applyAlignment="1">
      <alignment vertical="top" textRotation="90"/>
    </xf>
    <xf numFmtId="0" fontId="0" fillId="0" borderId="25" xfId="0" applyBorder="1" applyAlignment="1">
      <alignment vertical="top" textRotation="90"/>
    </xf>
    <xf numFmtId="0" fontId="0" fillId="0" borderId="28" xfId="0" applyBorder="1" applyAlignment="1">
      <alignment vertical="top" textRotation="90"/>
    </xf>
    <xf numFmtId="0" fontId="0" fillId="0" borderId="69" xfId="0" applyBorder="1" applyAlignment="1">
      <alignment vertical="top" textRotation="90"/>
    </xf>
    <xf numFmtId="0" fontId="3" fillId="0" borderId="29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71" xfId="0" applyBorder="1" applyAlignment="1">
      <alignment vertical="top" textRotation="90"/>
    </xf>
    <xf numFmtId="0" fontId="0" fillId="0" borderId="72" xfId="0" applyBorder="1" applyAlignment="1">
      <alignment vertical="top" textRotation="90"/>
    </xf>
    <xf numFmtId="0" fontId="0" fillId="0" borderId="36" xfId="0" applyBorder="1" applyAlignment="1">
      <alignment vertical="top" textRotation="90"/>
    </xf>
    <xf numFmtId="0" fontId="0" fillId="0" borderId="17" xfId="0" applyBorder="1" applyAlignment="1">
      <alignment vertical="top" textRotation="90"/>
    </xf>
    <xf numFmtId="0" fontId="0" fillId="0" borderId="73" xfId="0" applyBorder="1" applyAlignment="1">
      <alignment vertical="top" textRotation="90"/>
    </xf>
    <xf numFmtId="0" fontId="0" fillId="0" borderId="40" xfId="0" applyBorder="1" applyAlignment="1">
      <alignment horizontal="center" vertical="center"/>
    </xf>
    <xf numFmtId="0" fontId="0" fillId="0" borderId="20" xfId="0" applyBorder="1" applyAlignment="1">
      <alignment vertical="top" textRotation="90"/>
    </xf>
    <xf numFmtId="0" fontId="0" fillId="0" borderId="21" xfId="0" applyBorder="1" applyAlignment="1">
      <alignment vertical="top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i-FI"/>
              <a:t>Costs 2001</a:t>
            </a:r>
          </a:p>
        </c:rich>
      </c:tx>
      <c:layout>
        <c:manualLayout>
          <c:xMode val="edge"/>
          <c:yMode val="edge"/>
          <c:x val="0.42239685658153242"/>
          <c:y val="3.3033129906654426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072691552062868E-2"/>
          <c:y val="0.37537647621198211"/>
          <c:w val="0.59724950884086447"/>
          <c:h val="0.36336442897319871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3467-48EB-854C-4BB5D4E82282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467-48EB-854C-4BB5D4E82282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3467-48EB-854C-4BB5D4E82282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467-48EB-854C-4BB5D4E82282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3467-48EB-854C-4BB5D4E82282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467-48EB-854C-4BB5D4E82282}"/>
              </c:ext>
            </c:extLst>
          </c:dPt>
          <c:cat>
            <c:strRef>
              <c:f>('Budget 2001'!$D$4:$D$6,'Budget 2001'!$D$12:$D$14)</c:f>
              <c:strCache>
                <c:ptCount val="6"/>
                <c:pt idx="0">
                  <c:v>Support (HelpDesk)</c:v>
                </c:pt>
                <c:pt idx="1">
                  <c:v>Sales</c:v>
                </c:pt>
                <c:pt idx="2">
                  <c:v>Deployment</c:v>
                </c:pt>
                <c:pt idx="3">
                  <c:v>Technology Groups</c:v>
                </c:pt>
                <c:pt idx="4">
                  <c:v>Development</c:v>
                </c:pt>
                <c:pt idx="5">
                  <c:v>Research</c:v>
                </c:pt>
              </c:strCache>
            </c:strRef>
          </c:cat>
          <c:val>
            <c:numRef>
              <c:f>('Budget 2001'!$H$4:$H$6,'Budget 2001'!$H$12:$H$14)</c:f>
              <c:numCache>
                <c:formatCode>#,##0</c:formatCode>
                <c:ptCount val="6"/>
                <c:pt idx="1">
                  <c:v>-250000</c:v>
                </c:pt>
                <c:pt idx="2">
                  <c:v>-525000</c:v>
                </c:pt>
                <c:pt idx="3">
                  <c:v>-250000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467-48EB-854C-4BB5D4E82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3084479371316302"/>
          <c:y val="0.37537647621198211"/>
          <c:w val="0.25343811394891946"/>
          <c:h val="0.3633644289731987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LID4096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LID4096"/>
    </a:p>
  </c:txPr>
  <c:printSettings>
    <c:headerFooter alignWithMargins="0"/>
    <c:pageMargins b="1" l="0.75" r="0.75" t="1" header="0.5" footer="0.5"/>
    <c:pageSetup paperSize="9" orientation="landscape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i-FI"/>
              <a:t>Costs 2002</a:t>
            </a:r>
          </a:p>
        </c:rich>
      </c:tx>
      <c:layout>
        <c:manualLayout>
          <c:xMode val="edge"/>
          <c:yMode val="edge"/>
          <c:x val="0.42908438061041293"/>
          <c:y val="3.3950719614196365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0017953321364457E-2"/>
          <c:y val="0.35493934142114386"/>
          <c:w val="0.6140035906642729"/>
          <c:h val="0.41975435159370056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5015-417C-85D2-FAC83DF11FB6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015-417C-85D2-FAC83DF11FB6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5015-417C-85D2-FAC83DF11FB6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015-417C-85D2-FAC83DF11FB6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5015-417C-85D2-FAC83DF11FB6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015-417C-85D2-FAC83DF11FB6}"/>
              </c:ext>
            </c:extLst>
          </c:dPt>
          <c:cat>
            <c:strRef>
              <c:f>(' Budget 2002'!$D$4:$D$6,' Budget 2002'!$D$12:$D$14)</c:f>
              <c:strCache>
                <c:ptCount val="6"/>
                <c:pt idx="0">
                  <c:v>Support (HelpDesk)</c:v>
                </c:pt>
                <c:pt idx="1">
                  <c:v>Sales</c:v>
                </c:pt>
                <c:pt idx="2">
                  <c:v>Deployment</c:v>
                </c:pt>
                <c:pt idx="3">
                  <c:v>Technology Groups</c:v>
                </c:pt>
                <c:pt idx="4">
                  <c:v>Development</c:v>
                </c:pt>
                <c:pt idx="5">
                  <c:v>Research</c:v>
                </c:pt>
              </c:strCache>
            </c:strRef>
          </c:cat>
          <c:val>
            <c:numRef>
              <c:f>(' Budget 2002'!$H$4:$H$6,' Budget 2002'!$H$12:$H$14)</c:f>
              <c:numCache>
                <c:formatCode>#,##0</c:formatCode>
                <c:ptCount val="6"/>
                <c:pt idx="1">
                  <c:v>-75000</c:v>
                </c:pt>
                <c:pt idx="2">
                  <c:v>-375000</c:v>
                </c:pt>
                <c:pt idx="3">
                  <c:v>-250000</c:v>
                </c:pt>
                <c:pt idx="4">
                  <c:v>-375000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015-417C-85D2-FAC83DF11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468581687612208"/>
          <c:y val="0.37037148670032399"/>
          <c:w val="0.23877917414721722"/>
          <c:h val="0.3919764900911762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LID4096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LID4096"/>
    </a:p>
  </c:txPr>
  <c:printSettings>
    <c:headerFooter alignWithMargins="0"/>
    <c:pageMargins b="1" l="0.75" r="0.75" t="1" header="0.5" footer="0.5"/>
    <c:pageSetup paperSize="9" orientation="landscape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i-FI"/>
              <a:t>Costs 2003</a:t>
            </a:r>
          </a:p>
        </c:rich>
      </c:tx>
      <c:layout>
        <c:manualLayout>
          <c:xMode val="edge"/>
          <c:yMode val="edge"/>
          <c:x val="0.42882958338538746"/>
          <c:y val="3.519061583577713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0270393916092896E-2"/>
          <c:y val="0.36363636363636365"/>
          <c:w val="0.61261369055055348"/>
          <c:h val="0.39589442815249265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5639-450F-8D5B-F09193856331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639-450F-8D5B-F09193856331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5639-450F-8D5B-F09193856331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639-450F-8D5B-F09193856331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5639-450F-8D5B-F09193856331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639-450F-8D5B-F09193856331}"/>
              </c:ext>
            </c:extLst>
          </c:dPt>
          <c:cat>
            <c:strRef>
              <c:f>('Budget 2003'!$D$4:$D$6,'Budget 2003'!$D$12:$D$14)</c:f>
              <c:strCache>
                <c:ptCount val="6"/>
                <c:pt idx="0">
                  <c:v>Support (HelpDesk)</c:v>
                </c:pt>
                <c:pt idx="1">
                  <c:v>Sales</c:v>
                </c:pt>
                <c:pt idx="2">
                  <c:v>Deployment</c:v>
                </c:pt>
                <c:pt idx="3">
                  <c:v>Technology Groups</c:v>
                </c:pt>
                <c:pt idx="4">
                  <c:v>Development</c:v>
                </c:pt>
                <c:pt idx="5">
                  <c:v>Research</c:v>
                </c:pt>
              </c:strCache>
            </c:strRef>
          </c:cat>
          <c:val>
            <c:numRef>
              <c:f>('Budget 2003'!$H$4:$H$6,'Budget 2003'!$H$12:$H$14)</c:f>
              <c:numCache>
                <c:formatCode>#,##0</c:formatCode>
                <c:ptCount val="6"/>
                <c:pt idx="0">
                  <c:v>450000</c:v>
                </c:pt>
                <c:pt idx="1">
                  <c:v>-50000</c:v>
                </c:pt>
                <c:pt idx="2">
                  <c:v>-87500</c:v>
                </c:pt>
                <c:pt idx="3">
                  <c:v>-500000</c:v>
                </c:pt>
                <c:pt idx="4">
                  <c:v>-625000</c:v>
                </c:pt>
                <c:pt idx="5">
                  <c:v>-1000000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639-450F-8D5B-F09193856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4594725849390919"/>
          <c:y val="0.37536656891495601"/>
          <c:w val="0.23964006130359886"/>
          <c:h val="0.3724340175953079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LID4096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LID4096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285750</xdr:colOff>
      <xdr:row>16</xdr:row>
      <xdr:rowOff>19050</xdr:rowOff>
    </xdr:from>
    <xdr:to>
      <xdr:col>13</xdr:col>
      <xdr:colOff>542925</xdr:colOff>
      <xdr:row>35</xdr:row>
      <xdr:rowOff>114300</xdr:rowOff>
    </xdr:to>
    <xdr:graphicFrame macro="">
      <xdr:nvGraphicFramePr>
        <xdr:cNvPr id="2049" name="Chart 1">
          <a:extLst>
            <a:ext uri="{FF2B5EF4-FFF2-40B4-BE49-F238E27FC236}">
              <a16:creationId xmlns:a16="http://schemas.microsoft.com/office/drawing/2014/main" id="{14ACAB66-8382-5B11-113B-073FC79C05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428625</xdr:colOff>
      <xdr:row>15</xdr:row>
      <xdr:rowOff>142875</xdr:rowOff>
    </xdr:from>
    <xdr:to>
      <xdr:col>14</xdr:col>
      <xdr:colOff>561975</xdr:colOff>
      <xdr:row>34</xdr:row>
      <xdr:rowOff>142875</xdr:rowOff>
    </xdr:to>
    <xdr:graphicFrame macro="">
      <xdr:nvGraphicFramePr>
        <xdr:cNvPr id="3073" name="Chart 1">
          <a:extLst>
            <a:ext uri="{FF2B5EF4-FFF2-40B4-BE49-F238E27FC236}">
              <a16:creationId xmlns:a16="http://schemas.microsoft.com/office/drawing/2014/main" id="{9E6E880D-7176-99F3-D774-CDF8CB3EE0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133350</xdr:colOff>
      <xdr:row>15</xdr:row>
      <xdr:rowOff>85725</xdr:rowOff>
    </xdr:from>
    <xdr:to>
      <xdr:col>13</xdr:col>
      <xdr:colOff>476250</xdr:colOff>
      <xdr:row>35</xdr:row>
      <xdr:rowOff>95250</xdr:rowOff>
    </xdr:to>
    <xdr:graphicFrame macro="">
      <xdr:nvGraphicFramePr>
        <xdr:cNvPr id="4098" name="Chart 2">
          <a:extLst>
            <a:ext uri="{FF2B5EF4-FFF2-40B4-BE49-F238E27FC236}">
              <a16:creationId xmlns:a16="http://schemas.microsoft.com/office/drawing/2014/main" id="{9532D2F5-9918-D83F-D552-9BC8141BD8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7B090-3F62-4150-9BEF-6A8FB5E7B6B3}">
  <sheetPr>
    <pageSetUpPr fitToPage="1"/>
  </sheetPr>
  <dimension ref="B12:F16"/>
  <sheetViews>
    <sheetView tabSelected="1" workbookViewId="0">
      <selection activeCell="B12" sqref="B12:B16"/>
    </sheetView>
  </sheetViews>
  <sheetFormatPr defaultRowHeight="12.75" x14ac:dyDescent="0.2"/>
  <cols>
    <col min="4" max="4" width="15.28515625" customWidth="1"/>
    <col min="5" max="5" width="114" bestFit="1" customWidth="1"/>
  </cols>
  <sheetData>
    <row r="12" spans="2:6" ht="81.75" x14ac:dyDescent="1.1499999999999999">
      <c r="B12" s="121" t="s">
        <v>32</v>
      </c>
      <c r="F12" s="120"/>
    </row>
    <row r="13" spans="2:6" ht="23.25" x14ac:dyDescent="0.35">
      <c r="B13" s="122" t="s">
        <v>33</v>
      </c>
    </row>
    <row r="15" spans="2:6" x14ac:dyDescent="0.2">
      <c r="B15" t="s">
        <v>34</v>
      </c>
    </row>
    <row r="16" spans="2:6" x14ac:dyDescent="0.2">
      <c r="B16" t="s">
        <v>31</v>
      </c>
    </row>
  </sheetData>
  <pageMargins left="0.74803149606299213" right="0.74803149606299213" top="0.98425196850393704" bottom="0.98425196850393704" header="0.51181102362204722" footer="0.51181102362204722"/>
  <pageSetup paperSize="9" scale="84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B22D6-18B0-43B9-BCC5-9E531ABB07F0}">
  <dimension ref="B3:I14"/>
  <sheetViews>
    <sheetView showGridLines="0" workbookViewId="0"/>
  </sheetViews>
  <sheetFormatPr defaultRowHeight="12.75" x14ac:dyDescent="0.2"/>
  <cols>
    <col min="2" max="2" width="3.28515625" customWidth="1"/>
    <col min="3" max="3" width="10.7109375" bestFit="1" customWidth="1"/>
    <col min="4" max="4" width="11.28515625" bestFit="1" customWidth="1"/>
  </cols>
  <sheetData>
    <row r="3" spans="2:9" ht="21" customHeight="1" thickBot="1" x14ac:dyDescent="0.25"/>
    <row r="4" spans="2:9" ht="21" customHeight="1" x14ac:dyDescent="0.2">
      <c r="B4" s="126" t="s">
        <v>19</v>
      </c>
      <c r="C4" s="6"/>
      <c r="D4" s="6"/>
      <c r="E4" s="6"/>
      <c r="F4" s="6"/>
      <c r="G4" s="6"/>
      <c r="H4" s="6"/>
      <c r="I4" s="23"/>
    </row>
    <row r="5" spans="2:9" ht="21" customHeight="1" x14ac:dyDescent="0.2">
      <c r="B5" s="127"/>
      <c r="I5" s="1"/>
    </row>
    <row r="6" spans="2:9" ht="21" customHeight="1" x14ac:dyDescent="0.2">
      <c r="B6" s="127"/>
      <c r="I6" s="1"/>
    </row>
    <row r="7" spans="2:9" ht="21" customHeight="1" x14ac:dyDescent="0.2">
      <c r="B7" s="127"/>
      <c r="C7" s="123"/>
      <c r="D7" s="123"/>
      <c r="I7" s="1"/>
    </row>
    <row r="8" spans="2:9" ht="21" customHeight="1" x14ac:dyDescent="0.2">
      <c r="B8" s="127"/>
      <c r="C8" s="123"/>
      <c r="D8" s="123"/>
      <c r="I8" s="1"/>
    </row>
    <row r="9" spans="2:9" ht="21" customHeight="1" x14ac:dyDescent="0.2">
      <c r="B9" s="127"/>
      <c r="C9" s="123"/>
      <c r="D9" s="123"/>
      <c r="I9" s="1"/>
    </row>
    <row r="10" spans="2:9" ht="21" customHeight="1" x14ac:dyDescent="0.2">
      <c r="B10" s="127"/>
      <c r="C10" s="123"/>
      <c r="D10" s="123"/>
      <c r="I10" s="1"/>
    </row>
    <row r="11" spans="2:9" ht="21" customHeight="1" x14ac:dyDescent="0.2">
      <c r="B11" s="127"/>
      <c r="C11" s="123"/>
      <c r="D11" s="123"/>
      <c r="I11" s="1"/>
    </row>
    <row r="12" spans="2:9" ht="21" customHeight="1" x14ac:dyDescent="0.2">
      <c r="B12" s="127"/>
      <c r="I12" s="1"/>
    </row>
    <row r="13" spans="2:9" ht="21" customHeight="1" x14ac:dyDescent="0.2">
      <c r="B13" s="127"/>
      <c r="I13" s="1"/>
    </row>
    <row r="14" spans="2:9" ht="21" customHeight="1" thickBot="1" x14ac:dyDescent="0.25">
      <c r="B14" s="128"/>
      <c r="C14" s="2"/>
      <c r="D14" s="2"/>
      <c r="E14" s="2"/>
      <c r="F14" s="2"/>
      <c r="G14" s="2"/>
      <c r="H14" s="2"/>
      <c r="I14" s="3"/>
    </row>
  </sheetData>
  <mergeCells count="3">
    <mergeCell ref="C7:C11"/>
    <mergeCell ref="D7:D11"/>
    <mergeCell ref="B4:B14"/>
  </mergeCells>
  <pageMargins left="0.75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A197A-4700-43EC-9497-57D734392FBD}">
  <dimension ref="B3:I14"/>
  <sheetViews>
    <sheetView showGridLines="0" workbookViewId="0"/>
  </sheetViews>
  <sheetFormatPr defaultRowHeight="12.75" x14ac:dyDescent="0.2"/>
  <cols>
    <col min="2" max="3" width="3.28515625" customWidth="1"/>
    <col min="4" max="9" width="15.7109375" customWidth="1"/>
  </cols>
  <sheetData>
    <row r="3" spans="2:9" ht="21" customHeight="1" thickBot="1" x14ac:dyDescent="0.25"/>
    <row r="4" spans="2:9" ht="21" customHeight="1" x14ac:dyDescent="0.2">
      <c r="B4" s="130" t="s">
        <v>19</v>
      </c>
      <c r="C4" s="126" t="s">
        <v>20</v>
      </c>
      <c r="D4" s="6"/>
      <c r="E4" s="6"/>
      <c r="F4" s="6"/>
      <c r="G4" s="6"/>
      <c r="H4" s="6"/>
      <c r="I4" s="23"/>
    </row>
    <row r="5" spans="2:9" ht="21" customHeight="1" x14ac:dyDescent="0.2">
      <c r="B5" s="131"/>
      <c r="C5" s="127"/>
      <c r="I5" s="1"/>
    </row>
    <row r="6" spans="2:9" ht="21" customHeight="1" x14ac:dyDescent="0.2">
      <c r="B6" s="131"/>
      <c r="C6" s="127"/>
      <c r="I6" s="1"/>
    </row>
    <row r="7" spans="2:9" ht="21" customHeight="1" x14ac:dyDescent="0.2">
      <c r="B7" s="131"/>
      <c r="C7" s="127"/>
      <c r="D7" s="129"/>
      <c r="E7" s="123"/>
      <c r="I7" s="1"/>
    </row>
    <row r="8" spans="2:9" ht="21" customHeight="1" x14ac:dyDescent="0.2">
      <c r="B8" s="131"/>
      <c r="C8" s="127"/>
      <c r="D8" s="129"/>
      <c r="E8" s="123"/>
      <c r="I8" s="1"/>
    </row>
    <row r="9" spans="2:9" ht="21" customHeight="1" x14ac:dyDescent="0.2">
      <c r="B9" s="131"/>
      <c r="C9" s="127"/>
      <c r="D9" s="129"/>
      <c r="E9" s="123"/>
      <c r="I9" s="1"/>
    </row>
    <row r="10" spans="2:9" ht="21" customHeight="1" x14ac:dyDescent="0.2">
      <c r="B10" s="131"/>
      <c r="C10" s="127"/>
      <c r="D10" s="129"/>
      <c r="E10" s="123"/>
      <c r="I10" s="1"/>
    </row>
    <row r="11" spans="2:9" ht="21" customHeight="1" x14ac:dyDescent="0.2">
      <c r="B11" s="131"/>
      <c r="C11" s="127"/>
      <c r="D11" s="129"/>
      <c r="E11" s="123"/>
      <c r="I11" s="1"/>
    </row>
    <row r="12" spans="2:9" ht="21" customHeight="1" x14ac:dyDescent="0.2">
      <c r="B12" s="131"/>
      <c r="C12" s="127"/>
      <c r="I12" s="1"/>
    </row>
    <row r="13" spans="2:9" ht="21" customHeight="1" x14ac:dyDescent="0.2">
      <c r="B13" s="131"/>
      <c r="C13" s="127"/>
      <c r="I13" s="1"/>
    </row>
    <row r="14" spans="2:9" ht="21" customHeight="1" thickBot="1" x14ac:dyDescent="0.25">
      <c r="B14" s="132"/>
      <c r="C14" s="128"/>
      <c r="D14" s="2"/>
      <c r="E14" s="2"/>
      <c r="F14" s="2"/>
      <c r="G14" s="2"/>
      <c r="H14" s="2"/>
      <c r="I14" s="3"/>
    </row>
  </sheetData>
  <mergeCells count="4">
    <mergeCell ref="D7:D11"/>
    <mergeCell ref="E7:E11"/>
    <mergeCell ref="B4:B14"/>
    <mergeCell ref="C4:C14"/>
  </mergeCells>
  <pageMargins left="0.75" right="0.75" top="1" bottom="1" header="0.5" footer="0.5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EB147-019C-4B3A-AABA-6DBA2EF713DB}">
  <dimension ref="B3:I14"/>
  <sheetViews>
    <sheetView showGridLines="0" workbookViewId="0"/>
  </sheetViews>
  <sheetFormatPr defaultRowHeight="12.75" x14ac:dyDescent="0.2"/>
  <cols>
    <col min="2" max="3" width="3.28515625" customWidth="1"/>
    <col min="4" max="4" width="18.5703125" bestFit="1" customWidth="1"/>
    <col min="5" max="9" width="14.7109375" customWidth="1"/>
  </cols>
  <sheetData>
    <row r="3" spans="2:9" ht="21" customHeight="1" thickBot="1" x14ac:dyDescent="0.25"/>
    <row r="4" spans="2:9" ht="21" customHeight="1" x14ac:dyDescent="0.2">
      <c r="B4" s="130" t="s">
        <v>19</v>
      </c>
      <c r="C4" s="133" t="s">
        <v>20</v>
      </c>
      <c r="D4" s="49" t="s">
        <v>9</v>
      </c>
      <c r="E4" s="6"/>
      <c r="F4" s="6"/>
      <c r="G4" s="6"/>
      <c r="H4" s="6"/>
      <c r="I4" s="23"/>
    </row>
    <row r="5" spans="2:9" ht="21" customHeight="1" x14ac:dyDescent="0.2">
      <c r="B5" s="131"/>
      <c r="C5" s="134"/>
      <c r="D5" s="50" t="s">
        <v>8</v>
      </c>
      <c r="I5" s="1"/>
    </row>
    <row r="6" spans="2:9" ht="21" customHeight="1" x14ac:dyDescent="0.2">
      <c r="B6" s="131"/>
      <c r="C6" s="134"/>
      <c r="D6" s="50" t="s">
        <v>23</v>
      </c>
      <c r="I6" s="1"/>
    </row>
    <row r="7" spans="2:9" ht="21" customHeight="1" x14ac:dyDescent="0.2">
      <c r="B7" s="131"/>
      <c r="C7" s="134"/>
      <c r="D7" s="136"/>
      <c r="E7" s="129"/>
      <c r="F7" s="123"/>
      <c r="I7" s="1"/>
    </row>
    <row r="8" spans="2:9" ht="21" customHeight="1" x14ac:dyDescent="0.2">
      <c r="B8" s="131"/>
      <c r="C8" s="134"/>
      <c r="D8" s="136"/>
      <c r="E8" s="129"/>
      <c r="F8" s="123"/>
      <c r="I8" s="1"/>
    </row>
    <row r="9" spans="2:9" ht="21" customHeight="1" x14ac:dyDescent="0.2">
      <c r="B9" s="131"/>
      <c r="C9" s="134"/>
      <c r="D9" s="136"/>
      <c r="E9" s="129"/>
      <c r="F9" s="123"/>
      <c r="I9" s="1"/>
    </row>
    <row r="10" spans="2:9" ht="21" customHeight="1" x14ac:dyDescent="0.2">
      <c r="B10" s="131"/>
      <c r="C10" s="134"/>
      <c r="D10" s="136"/>
      <c r="E10" s="129"/>
      <c r="F10" s="123"/>
      <c r="I10" s="1"/>
    </row>
    <row r="11" spans="2:9" ht="21" customHeight="1" x14ac:dyDescent="0.2">
      <c r="B11" s="131"/>
      <c r="C11" s="134"/>
      <c r="D11" s="136"/>
      <c r="E11" s="129"/>
      <c r="F11" s="123"/>
      <c r="I11" s="1"/>
    </row>
    <row r="12" spans="2:9" ht="21" customHeight="1" x14ac:dyDescent="0.2">
      <c r="B12" s="131"/>
      <c r="C12" s="134"/>
      <c r="D12" s="50" t="s">
        <v>13</v>
      </c>
      <c r="I12" s="1"/>
    </row>
    <row r="13" spans="2:9" ht="21" customHeight="1" x14ac:dyDescent="0.2">
      <c r="B13" s="131"/>
      <c r="C13" s="134"/>
      <c r="D13" s="50" t="s">
        <v>12</v>
      </c>
      <c r="I13" s="1"/>
    </row>
    <row r="14" spans="2:9" ht="21" customHeight="1" thickBot="1" x14ac:dyDescent="0.25">
      <c r="B14" s="132"/>
      <c r="C14" s="135"/>
      <c r="D14" s="51" t="s">
        <v>11</v>
      </c>
      <c r="E14" s="2"/>
      <c r="F14" s="2"/>
      <c r="G14" s="2"/>
      <c r="H14" s="2"/>
      <c r="I14" s="3"/>
    </row>
  </sheetData>
  <mergeCells count="5">
    <mergeCell ref="E7:E11"/>
    <mergeCell ref="F7:F11"/>
    <mergeCell ref="B4:B14"/>
    <mergeCell ref="C4:C14"/>
    <mergeCell ref="D7:D11"/>
  </mergeCells>
  <pageMargins left="0.75" right="0.75" top="1" bottom="1" header="0.5" footer="0.5"/>
  <pageSetup paperSize="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E5873-CDD2-4724-9B00-3ED5CA0B0F7D}">
  <dimension ref="B3:J14"/>
  <sheetViews>
    <sheetView showGridLines="0" topLeftCell="A3" workbookViewId="0">
      <selection activeCell="J17" sqref="A17:K1048576"/>
    </sheetView>
  </sheetViews>
  <sheetFormatPr defaultRowHeight="12.75" x14ac:dyDescent="0.2"/>
  <cols>
    <col min="2" max="3" width="3.28515625" customWidth="1"/>
    <col min="4" max="4" width="17.140625" bestFit="1" customWidth="1"/>
    <col min="5" max="5" width="16.140625" bestFit="1" customWidth="1"/>
    <col min="6" max="6" width="14.42578125" customWidth="1"/>
    <col min="7" max="7" width="17.5703125" bestFit="1" customWidth="1"/>
    <col min="8" max="8" width="18.140625" customWidth="1"/>
    <col min="9" max="9" width="12.85546875" customWidth="1"/>
    <col min="10" max="10" width="10.7109375" bestFit="1" customWidth="1"/>
    <col min="11" max="11" width="11.28515625" bestFit="1" customWidth="1"/>
  </cols>
  <sheetData>
    <row r="3" spans="2:10" ht="21" customHeight="1" thickBot="1" x14ac:dyDescent="0.25"/>
    <row r="4" spans="2:10" ht="21" customHeight="1" x14ac:dyDescent="0.2">
      <c r="B4" s="137" t="s">
        <v>19</v>
      </c>
      <c r="C4" s="140" t="s">
        <v>20</v>
      </c>
      <c r="D4" s="102" t="s">
        <v>9</v>
      </c>
      <c r="E4" s="6"/>
      <c r="F4" s="6"/>
      <c r="G4" s="6"/>
      <c r="H4" s="6"/>
      <c r="I4" s="23"/>
    </row>
    <row r="5" spans="2:10" ht="21" customHeight="1" x14ac:dyDescent="0.2">
      <c r="B5" s="138"/>
      <c r="C5" s="141"/>
      <c r="D5" s="25" t="s">
        <v>8</v>
      </c>
      <c r="I5" s="1"/>
    </row>
    <row r="6" spans="2:10" ht="21" customHeight="1" thickBot="1" x14ac:dyDescent="0.25">
      <c r="B6" s="138"/>
      <c r="C6" s="141"/>
      <c r="D6" s="24" t="s">
        <v>23</v>
      </c>
      <c r="I6" s="1"/>
    </row>
    <row r="7" spans="2:10" ht="21" customHeight="1" x14ac:dyDescent="0.2">
      <c r="B7" s="138"/>
      <c r="C7" s="142"/>
      <c r="D7" s="144" t="s">
        <v>21</v>
      </c>
      <c r="E7" s="6"/>
      <c r="F7" s="6"/>
      <c r="G7" s="6"/>
      <c r="H7" s="6"/>
      <c r="I7" s="35"/>
      <c r="J7" s="123"/>
    </row>
    <row r="8" spans="2:10" ht="21" customHeight="1" x14ac:dyDescent="0.2">
      <c r="B8" s="138"/>
      <c r="C8" s="142"/>
      <c r="D8" s="145"/>
      <c r="H8" s="31"/>
      <c r="I8" s="1"/>
      <c r="J8" s="123"/>
    </row>
    <row r="9" spans="2:10" ht="21" customHeight="1" x14ac:dyDescent="0.2">
      <c r="B9" s="138"/>
      <c r="C9" s="142"/>
      <c r="D9" s="145"/>
      <c r="G9" s="31"/>
      <c r="I9" s="1"/>
      <c r="J9" s="123"/>
    </row>
    <row r="10" spans="2:10" ht="21" customHeight="1" x14ac:dyDescent="0.2">
      <c r="B10" s="138"/>
      <c r="C10" s="142"/>
      <c r="D10" s="145"/>
      <c r="F10" s="31"/>
      <c r="I10" s="1"/>
      <c r="J10" s="123"/>
    </row>
    <row r="11" spans="2:10" ht="21" customHeight="1" thickBot="1" x14ac:dyDescent="0.25">
      <c r="B11" s="138"/>
      <c r="C11" s="142"/>
      <c r="D11" s="146"/>
      <c r="E11" s="36"/>
      <c r="F11" s="2"/>
      <c r="G11" s="2"/>
      <c r="H11" s="2"/>
      <c r="I11" s="3"/>
      <c r="J11" s="123"/>
    </row>
    <row r="12" spans="2:10" ht="21" customHeight="1" x14ac:dyDescent="0.2">
      <c r="B12" s="138"/>
      <c r="C12" s="141"/>
      <c r="D12" s="25" t="s">
        <v>13</v>
      </c>
      <c r="I12" s="1"/>
    </row>
    <row r="13" spans="2:10" ht="21" customHeight="1" x14ac:dyDescent="0.2">
      <c r="B13" s="138"/>
      <c r="C13" s="141"/>
      <c r="D13" s="25" t="s">
        <v>12</v>
      </c>
      <c r="I13" s="1"/>
    </row>
    <row r="14" spans="2:10" ht="21" customHeight="1" thickBot="1" x14ac:dyDescent="0.25">
      <c r="B14" s="139"/>
      <c r="C14" s="143"/>
      <c r="D14" s="103" t="s">
        <v>11</v>
      </c>
      <c r="E14" s="2"/>
      <c r="F14" s="2"/>
      <c r="G14" s="2"/>
      <c r="H14" s="2"/>
      <c r="I14" s="3"/>
    </row>
  </sheetData>
  <mergeCells count="4">
    <mergeCell ref="J7:J11"/>
    <mergeCell ref="B4:B14"/>
    <mergeCell ref="C4:C14"/>
    <mergeCell ref="D7:D11"/>
  </mergeCells>
  <pageMargins left="0.75" right="0.75" top="1" bottom="1" header="0.5" footer="0.5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18B44-3670-44BE-9FDB-219439D6612C}">
  <dimension ref="B3:I14"/>
  <sheetViews>
    <sheetView showGridLines="0" workbookViewId="0">
      <selection activeCell="M14" sqref="M14"/>
    </sheetView>
  </sheetViews>
  <sheetFormatPr defaultRowHeight="12.75" x14ac:dyDescent="0.2"/>
  <cols>
    <col min="2" max="3" width="3.28515625" customWidth="1"/>
    <col min="4" max="4" width="17.140625" bestFit="1" customWidth="1"/>
    <col min="5" max="5" width="17.42578125" bestFit="1" customWidth="1"/>
    <col min="6" max="6" width="14.42578125" customWidth="1"/>
    <col min="7" max="7" width="17.5703125" bestFit="1" customWidth="1"/>
    <col min="8" max="8" width="18.140625" customWidth="1"/>
    <col min="9" max="9" width="12.85546875" customWidth="1"/>
    <col min="10" max="10" width="10.7109375" bestFit="1" customWidth="1"/>
    <col min="11" max="11" width="11.28515625" bestFit="1" customWidth="1"/>
  </cols>
  <sheetData>
    <row r="3" spans="2:9" ht="21" customHeight="1" thickBot="1" x14ac:dyDescent="0.25"/>
    <row r="4" spans="2:9" ht="21" customHeight="1" x14ac:dyDescent="0.2">
      <c r="B4" s="137" t="s">
        <v>19</v>
      </c>
      <c r="C4" s="140" t="s">
        <v>20</v>
      </c>
      <c r="D4" s="104" t="s">
        <v>9</v>
      </c>
      <c r="E4" s="6"/>
      <c r="F4" s="6"/>
      <c r="G4" s="6"/>
      <c r="H4" s="6"/>
      <c r="I4" s="23"/>
    </row>
    <row r="5" spans="2:9" ht="21" customHeight="1" x14ac:dyDescent="0.2">
      <c r="B5" s="138"/>
      <c r="C5" s="141"/>
      <c r="D5" s="21" t="s">
        <v>8</v>
      </c>
      <c r="I5" s="1"/>
    </row>
    <row r="6" spans="2:9" ht="21" customHeight="1" x14ac:dyDescent="0.2">
      <c r="B6" s="138"/>
      <c r="C6" s="141"/>
      <c r="D6" s="21" t="s">
        <v>23</v>
      </c>
      <c r="I6" s="1"/>
    </row>
    <row r="7" spans="2:9" ht="21" customHeight="1" x14ac:dyDescent="0.2">
      <c r="B7" s="138"/>
      <c r="C7" s="141"/>
      <c r="D7" s="147" t="s">
        <v>21</v>
      </c>
      <c r="E7" s="44"/>
      <c r="F7" s="44"/>
      <c r="G7" s="44"/>
      <c r="H7" s="44"/>
      <c r="I7" s="105"/>
    </row>
    <row r="8" spans="2:9" ht="21" customHeight="1" x14ac:dyDescent="0.2">
      <c r="B8" s="138"/>
      <c r="C8" s="141"/>
      <c r="D8" s="148"/>
      <c r="H8" s="31"/>
      <c r="I8" s="1"/>
    </row>
    <row r="9" spans="2:9" ht="21" customHeight="1" x14ac:dyDescent="0.2">
      <c r="B9" s="138"/>
      <c r="C9" s="141"/>
      <c r="D9" s="148"/>
      <c r="G9" s="31"/>
      <c r="I9" s="1"/>
    </row>
    <row r="10" spans="2:9" ht="21" customHeight="1" x14ac:dyDescent="0.2">
      <c r="B10" s="138"/>
      <c r="C10" s="141"/>
      <c r="D10" s="148"/>
      <c r="F10" s="31"/>
      <c r="I10" s="1"/>
    </row>
    <row r="11" spans="2:9" ht="21" customHeight="1" x14ac:dyDescent="0.2">
      <c r="B11" s="138"/>
      <c r="C11" s="141"/>
      <c r="D11" s="149"/>
      <c r="E11" s="53" t="s">
        <v>14</v>
      </c>
      <c r="F11" s="40"/>
      <c r="G11" s="40"/>
      <c r="H11" s="40"/>
      <c r="I11" s="61"/>
    </row>
    <row r="12" spans="2:9" ht="21" customHeight="1" x14ac:dyDescent="0.2">
      <c r="B12" s="138"/>
      <c r="C12" s="141"/>
      <c r="D12" s="21" t="s">
        <v>13</v>
      </c>
      <c r="I12" s="1"/>
    </row>
    <row r="13" spans="2:9" ht="21" customHeight="1" x14ac:dyDescent="0.2">
      <c r="B13" s="138"/>
      <c r="C13" s="141"/>
      <c r="D13" s="21" t="s">
        <v>12</v>
      </c>
      <c r="I13" s="1"/>
    </row>
    <row r="14" spans="2:9" ht="21" customHeight="1" thickBot="1" x14ac:dyDescent="0.25">
      <c r="B14" s="139"/>
      <c r="C14" s="143"/>
      <c r="D14" s="103" t="s">
        <v>11</v>
      </c>
      <c r="E14" s="2"/>
      <c r="F14" s="2"/>
      <c r="G14" s="2"/>
      <c r="H14" s="2"/>
      <c r="I14" s="3"/>
    </row>
  </sheetData>
  <mergeCells count="3">
    <mergeCell ref="B4:B14"/>
    <mergeCell ref="C4:C14"/>
    <mergeCell ref="D7:D11"/>
  </mergeCells>
  <pageMargins left="0.75" right="0.75" top="1" bottom="1" header="0.5" footer="0.5"/>
  <pageSetup paperSize="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6CA8C-2FA8-4C40-B452-4B1118D45A68}">
  <dimension ref="B3:I14"/>
  <sheetViews>
    <sheetView showGridLines="0" workbookViewId="0">
      <selection activeCell="A15" sqref="A15:XFD22"/>
    </sheetView>
  </sheetViews>
  <sheetFormatPr defaultRowHeight="12.75" x14ac:dyDescent="0.2"/>
  <cols>
    <col min="2" max="3" width="3.28515625" customWidth="1"/>
    <col min="4" max="4" width="17.140625" bestFit="1" customWidth="1"/>
    <col min="5" max="5" width="16.140625" bestFit="1" customWidth="1"/>
    <col min="6" max="6" width="14.42578125" customWidth="1"/>
    <col min="7" max="7" width="17.5703125" bestFit="1" customWidth="1"/>
    <col min="8" max="8" width="18.140625" customWidth="1"/>
    <col min="9" max="9" width="12.85546875" customWidth="1"/>
  </cols>
  <sheetData>
    <row r="3" spans="2:9" ht="21" customHeight="1" thickBot="1" x14ac:dyDescent="0.25"/>
    <row r="4" spans="2:9" ht="21" customHeight="1" x14ac:dyDescent="0.2">
      <c r="B4" s="150" t="s">
        <v>19</v>
      </c>
      <c r="C4" s="153" t="s">
        <v>20</v>
      </c>
      <c r="D4" s="102" t="s">
        <v>9</v>
      </c>
      <c r="E4" s="6"/>
      <c r="F4" s="6"/>
      <c r="G4" s="6"/>
      <c r="H4" s="6"/>
      <c r="I4" s="23"/>
    </row>
    <row r="5" spans="2:9" ht="21" customHeight="1" x14ac:dyDescent="0.2">
      <c r="B5" s="151"/>
      <c r="C5" s="124"/>
      <c r="D5" s="21" t="s">
        <v>8</v>
      </c>
      <c r="I5" s="1"/>
    </row>
    <row r="6" spans="2:9" ht="21" customHeight="1" x14ac:dyDescent="0.2">
      <c r="B6" s="151"/>
      <c r="C6" s="124"/>
      <c r="D6" s="21" t="s">
        <v>23</v>
      </c>
      <c r="I6" s="1"/>
    </row>
    <row r="7" spans="2:9" ht="21" customHeight="1" x14ac:dyDescent="0.2">
      <c r="B7" s="151"/>
      <c r="C7" s="124"/>
      <c r="D7" s="155" t="s">
        <v>21</v>
      </c>
      <c r="E7" s="44"/>
      <c r="F7" s="44"/>
      <c r="G7" s="44"/>
      <c r="H7" s="44"/>
      <c r="I7" s="105"/>
    </row>
    <row r="8" spans="2:9" ht="21" customHeight="1" x14ac:dyDescent="0.2">
      <c r="B8" s="151"/>
      <c r="C8" s="124"/>
      <c r="D8" s="155"/>
      <c r="H8" s="31"/>
      <c r="I8" s="1"/>
    </row>
    <row r="9" spans="2:9" ht="21" customHeight="1" x14ac:dyDescent="0.2">
      <c r="B9" s="151"/>
      <c r="C9" s="124"/>
      <c r="D9" s="155"/>
      <c r="G9" s="31"/>
      <c r="I9" s="1"/>
    </row>
    <row r="10" spans="2:9" ht="21" customHeight="1" x14ac:dyDescent="0.2">
      <c r="B10" s="151"/>
      <c r="C10" s="124"/>
      <c r="D10" s="155"/>
      <c r="F10" s="37" t="s">
        <v>16</v>
      </c>
      <c r="I10" s="1"/>
    </row>
    <row r="11" spans="2:9" ht="21" customHeight="1" x14ac:dyDescent="0.2">
      <c r="B11" s="151"/>
      <c r="C11" s="124"/>
      <c r="D11" s="155"/>
      <c r="E11" s="52" t="s">
        <v>14</v>
      </c>
      <c r="F11" s="40"/>
      <c r="G11" s="40"/>
      <c r="H11" s="40"/>
      <c r="I11" s="61"/>
    </row>
    <row r="12" spans="2:9" ht="21" customHeight="1" x14ac:dyDescent="0.2">
      <c r="B12" s="151"/>
      <c r="C12" s="124"/>
      <c r="D12" s="21" t="s">
        <v>13</v>
      </c>
      <c r="I12" s="1"/>
    </row>
    <row r="13" spans="2:9" ht="21" customHeight="1" x14ac:dyDescent="0.2">
      <c r="B13" s="151"/>
      <c r="C13" s="124"/>
      <c r="D13" s="21" t="s">
        <v>12</v>
      </c>
      <c r="I13" s="1"/>
    </row>
    <row r="14" spans="2:9" ht="21" customHeight="1" thickBot="1" x14ac:dyDescent="0.25">
      <c r="B14" s="152"/>
      <c r="C14" s="154"/>
      <c r="D14" s="106" t="s">
        <v>11</v>
      </c>
      <c r="E14" s="2"/>
      <c r="F14" s="2"/>
      <c r="G14" s="2"/>
      <c r="H14" s="2"/>
      <c r="I14" s="3"/>
    </row>
  </sheetData>
  <mergeCells count="3">
    <mergeCell ref="B4:B14"/>
    <mergeCell ref="C4:C14"/>
    <mergeCell ref="D7:D11"/>
  </mergeCells>
  <pageMargins left="0.75" right="0.75" top="1" bottom="1" header="0.5" footer="0.5"/>
  <pageSetup paperSize="9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2CC08-2722-4BD5-94CD-4D1EDA35ABE9}">
  <dimension ref="B3:I14"/>
  <sheetViews>
    <sheetView showGridLines="0" workbookViewId="0">
      <selection activeCell="A15" sqref="A15:XFD28"/>
    </sheetView>
  </sheetViews>
  <sheetFormatPr defaultRowHeight="12.75" x14ac:dyDescent="0.2"/>
  <cols>
    <col min="2" max="2" width="3.140625" customWidth="1"/>
    <col min="3" max="3" width="3.28515625" customWidth="1"/>
    <col min="4" max="4" width="17.140625" bestFit="1" customWidth="1"/>
    <col min="5" max="5" width="16.140625" bestFit="1" customWidth="1"/>
    <col min="6" max="6" width="14.42578125" customWidth="1"/>
    <col min="7" max="7" width="19.5703125" bestFit="1" customWidth="1"/>
    <col min="8" max="8" width="18.140625" customWidth="1"/>
    <col min="9" max="9" width="12.85546875" customWidth="1"/>
  </cols>
  <sheetData>
    <row r="3" spans="2:9" ht="21" customHeight="1" thickBot="1" x14ac:dyDescent="0.25"/>
    <row r="4" spans="2:9" ht="21" customHeight="1" x14ac:dyDescent="0.2">
      <c r="B4" s="150" t="s">
        <v>19</v>
      </c>
      <c r="C4" s="153" t="s">
        <v>20</v>
      </c>
      <c r="D4" s="102" t="s">
        <v>9</v>
      </c>
      <c r="E4" s="6"/>
      <c r="F4" s="6"/>
      <c r="G4" s="6"/>
      <c r="H4" s="6"/>
      <c r="I4" s="23"/>
    </row>
    <row r="5" spans="2:9" ht="21" customHeight="1" x14ac:dyDescent="0.2">
      <c r="B5" s="151"/>
      <c r="C5" s="124"/>
      <c r="D5" s="21" t="s">
        <v>8</v>
      </c>
      <c r="I5" s="1"/>
    </row>
    <row r="6" spans="2:9" ht="21" customHeight="1" x14ac:dyDescent="0.2">
      <c r="B6" s="151"/>
      <c r="C6" s="124"/>
      <c r="D6" s="21" t="s">
        <v>23</v>
      </c>
      <c r="I6" s="1"/>
    </row>
    <row r="7" spans="2:9" ht="21" customHeight="1" x14ac:dyDescent="0.2">
      <c r="B7" s="151"/>
      <c r="C7" s="124"/>
      <c r="D7" s="155" t="s">
        <v>21</v>
      </c>
      <c r="E7" s="44"/>
      <c r="F7" s="44"/>
      <c r="G7" s="44"/>
      <c r="H7" s="44"/>
      <c r="I7" s="105"/>
    </row>
    <row r="8" spans="2:9" ht="21" customHeight="1" x14ac:dyDescent="0.2">
      <c r="B8" s="151"/>
      <c r="C8" s="124"/>
      <c r="D8" s="155"/>
      <c r="H8" s="31"/>
      <c r="I8" s="1"/>
    </row>
    <row r="9" spans="2:9" ht="21" customHeight="1" x14ac:dyDescent="0.2">
      <c r="B9" s="151"/>
      <c r="C9" s="124"/>
      <c r="D9" s="155"/>
      <c r="G9" s="37" t="s">
        <v>22</v>
      </c>
      <c r="I9" s="1"/>
    </row>
    <row r="10" spans="2:9" ht="21" customHeight="1" x14ac:dyDescent="0.2">
      <c r="B10" s="151"/>
      <c r="C10" s="124"/>
      <c r="D10" s="155"/>
      <c r="F10" s="5" t="s">
        <v>16</v>
      </c>
      <c r="I10" s="1"/>
    </row>
    <row r="11" spans="2:9" ht="21" customHeight="1" x14ac:dyDescent="0.2">
      <c r="B11" s="151"/>
      <c r="C11" s="124"/>
      <c r="D11" s="155"/>
      <c r="E11" s="52" t="s">
        <v>14</v>
      </c>
      <c r="F11" s="40"/>
      <c r="G11" s="40"/>
      <c r="H11" s="40"/>
      <c r="I11" s="61"/>
    </row>
    <row r="12" spans="2:9" ht="21" customHeight="1" x14ac:dyDescent="0.2">
      <c r="B12" s="151"/>
      <c r="C12" s="124"/>
      <c r="D12" s="21" t="s">
        <v>13</v>
      </c>
      <c r="I12" s="1"/>
    </row>
    <row r="13" spans="2:9" ht="21" customHeight="1" x14ac:dyDescent="0.2">
      <c r="B13" s="151"/>
      <c r="C13" s="124"/>
      <c r="D13" s="21" t="s">
        <v>12</v>
      </c>
      <c r="I13" s="1"/>
    </row>
    <row r="14" spans="2:9" ht="21" customHeight="1" thickBot="1" x14ac:dyDescent="0.25">
      <c r="B14" s="152"/>
      <c r="C14" s="154"/>
      <c r="D14" s="106" t="s">
        <v>11</v>
      </c>
      <c r="E14" s="2"/>
      <c r="F14" s="2"/>
      <c r="G14" s="2"/>
      <c r="H14" s="2"/>
      <c r="I14" s="3"/>
    </row>
  </sheetData>
  <mergeCells count="3">
    <mergeCell ref="B4:B14"/>
    <mergeCell ref="C4:C14"/>
    <mergeCell ref="D7:D11"/>
  </mergeCells>
  <pageMargins left="0.75" right="0.75" top="1" bottom="1" header="0.5" footer="0.5"/>
  <pageSetup paperSize="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6494F-33E0-4AF7-8A33-A465B7CB5266}">
  <dimension ref="B3:I14"/>
  <sheetViews>
    <sheetView showGridLines="0" workbookViewId="0">
      <selection activeCell="A15" sqref="A15:XFD28"/>
    </sheetView>
  </sheetViews>
  <sheetFormatPr defaultRowHeight="12.75" x14ac:dyDescent="0.2"/>
  <cols>
    <col min="2" max="3" width="3.28515625" customWidth="1"/>
    <col min="4" max="4" width="17.140625" bestFit="1" customWidth="1"/>
    <col min="5" max="5" width="16.140625" bestFit="1" customWidth="1"/>
    <col min="6" max="6" width="14.42578125" customWidth="1"/>
    <col min="7" max="7" width="17.5703125" bestFit="1" customWidth="1"/>
    <col min="8" max="8" width="18.140625" customWidth="1"/>
    <col min="9" max="9" width="12.85546875" customWidth="1"/>
  </cols>
  <sheetData>
    <row r="3" spans="2:9" ht="21" customHeight="1" thickBot="1" x14ac:dyDescent="0.25"/>
    <row r="4" spans="2:9" ht="21" customHeight="1" x14ac:dyDescent="0.2">
      <c r="B4" s="150" t="s">
        <v>19</v>
      </c>
      <c r="C4" s="153" t="s">
        <v>20</v>
      </c>
      <c r="D4" s="102" t="s">
        <v>9</v>
      </c>
      <c r="E4" s="6"/>
      <c r="F4" s="6"/>
      <c r="G4" s="6"/>
      <c r="H4" s="6"/>
      <c r="I4" s="23"/>
    </row>
    <row r="5" spans="2:9" ht="21" customHeight="1" x14ac:dyDescent="0.2">
      <c r="B5" s="151"/>
      <c r="C5" s="124"/>
      <c r="D5" s="21" t="s">
        <v>8</v>
      </c>
      <c r="I5" s="1"/>
    </row>
    <row r="6" spans="2:9" ht="21" customHeight="1" x14ac:dyDescent="0.2">
      <c r="B6" s="151"/>
      <c r="C6" s="124"/>
      <c r="D6" s="21" t="s">
        <v>23</v>
      </c>
      <c r="I6" s="1"/>
    </row>
    <row r="7" spans="2:9" ht="21" customHeight="1" x14ac:dyDescent="0.2">
      <c r="B7" s="151"/>
      <c r="C7" s="124"/>
      <c r="D7" s="155" t="s">
        <v>21</v>
      </c>
      <c r="E7" s="44"/>
      <c r="F7" s="44"/>
      <c r="G7" s="44"/>
      <c r="H7" s="44"/>
      <c r="I7" s="105"/>
    </row>
    <row r="8" spans="2:9" ht="21" customHeight="1" x14ac:dyDescent="0.2">
      <c r="B8" s="151"/>
      <c r="C8" s="124"/>
      <c r="D8" s="155"/>
      <c r="H8" s="37" t="s">
        <v>17</v>
      </c>
      <c r="I8" s="1"/>
    </row>
    <row r="9" spans="2:9" ht="21" customHeight="1" x14ac:dyDescent="0.2">
      <c r="B9" s="151"/>
      <c r="C9" s="124"/>
      <c r="D9" s="155"/>
      <c r="G9" s="5" t="s">
        <v>22</v>
      </c>
      <c r="I9" s="1"/>
    </row>
    <row r="10" spans="2:9" ht="21" customHeight="1" x14ac:dyDescent="0.2">
      <c r="B10" s="151"/>
      <c r="C10" s="124"/>
      <c r="D10" s="155"/>
      <c r="F10" s="5" t="s">
        <v>16</v>
      </c>
      <c r="I10" s="1"/>
    </row>
    <row r="11" spans="2:9" ht="21" customHeight="1" x14ac:dyDescent="0.2">
      <c r="B11" s="151"/>
      <c r="C11" s="124"/>
      <c r="D11" s="155"/>
      <c r="E11" s="55" t="s">
        <v>14</v>
      </c>
      <c r="F11" s="40"/>
      <c r="G11" s="40"/>
      <c r="H11" s="40"/>
      <c r="I11" s="61"/>
    </row>
    <row r="12" spans="2:9" ht="21" customHeight="1" x14ac:dyDescent="0.2">
      <c r="B12" s="151"/>
      <c r="C12" s="124"/>
      <c r="D12" s="21" t="s">
        <v>13</v>
      </c>
      <c r="I12" s="1"/>
    </row>
    <row r="13" spans="2:9" ht="21" customHeight="1" x14ac:dyDescent="0.2">
      <c r="B13" s="151"/>
      <c r="C13" s="124"/>
      <c r="D13" s="21" t="s">
        <v>12</v>
      </c>
      <c r="I13" s="1"/>
    </row>
    <row r="14" spans="2:9" ht="21" customHeight="1" thickBot="1" x14ac:dyDescent="0.25">
      <c r="B14" s="152"/>
      <c r="C14" s="154"/>
      <c r="D14" s="106" t="s">
        <v>11</v>
      </c>
      <c r="E14" s="2"/>
      <c r="F14" s="2"/>
      <c r="G14" s="2"/>
      <c r="H14" s="2"/>
      <c r="I14" s="3"/>
    </row>
  </sheetData>
  <mergeCells count="3">
    <mergeCell ref="B4:B14"/>
    <mergeCell ref="C4:C14"/>
    <mergeCell ref="D7:D11"/>
  </mergeCells>
  <pageMargins left="0.75" right="0.75" top="1" bottom="1" header="0.5" footer="0.5"/>
  <pageSetup paperSize="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5702E-8B09-4CBF-959B-63BFDFD2D256}">
  <dimension ref="B3:I14"/>
  <sheetViews>
    <sheetView showGridLines="0" workbookViewId="0"/>
  </sheetViews>
  <sheetFormatPr defaultRowHeight="12.75" x14ac:dyDescent="0.2"/>
  <cols>
    <col min="2" max="3" width="3.28515625" customWidth="1"/>
    <col min="4" max="4" width="17.140625" bestFit="1" customWidth="1"/>
    <col min="5" max="5" width="16.140625" bestFit="1" customWidth="1"/>
    <col min="6" max="6" width="14.42578125" customWidth="1"/>
    <col min="7" max="7" width="17.5703125" bestFit="1" customWidth="1"/>
    <col min="8" max="8" width="18.140625" customWidth="1"/>
    <col min="9" max="9" width="12.85546875" customWidth="1"/>
  </cols>
  <sheetData>
    <row r="3" spans="2:9" ht="21" customHeight="1" thickBot="1" x14ac:dyDescent="0.25"/>
    <row r="4" spans="2:9" ht="21" customHeight="1" x14ac:dyDescent="0.2">
      <c r="B4" s="150" t="s">
        <v>19</v>
      </c>
      <c r="C4" s="153" t="s">
        <v>20</v>
      </c>
      <c r="D4" s="102" t="s">
        <v>9</v>
      </c>
      <c r="E4" s="6"/>
      <c r="F4" s="6"/>
      <c r="G4" s="6"/>
      <c r="H4" s="6"/>
      <c r="I4" s="23"/>
    </row>
    <row r="5" spans="2:9" ht="21" customHeight="1" x14ac:dyDescent="0.2">
      <c r="B5" s="151"/>
      <c r="C5" s="124"/>
      <c r="D5" s="21" t="s">
        <v>8</v>
      </c>
      <c r="I5" s="1"/>
    </row>
    <row r="6" spans="2:9" ht="21" customHeight="1" x14ac:dyDescent="0.2">
      <c r="B6" s="151"/>
      <c r="C6" s="124"/>
      <c r="D6" s="24" t="s">
        <v>23</v>
      </c>
      <c r="I6" s="1"/>
    </row>
    <row r="7" spans="2:9" ht="21" customHeight="1" x14ac:dyDescent="0.2">
      <c r="B7" s="151"/>
      <c r="C7" s="124"/>
      <c r="D7" s="155" t="s">
        <v>21</v>
      </c>
      <c r="E7" s="44"/>
      <c r="F7" s="44"/>
      <c r="G7" s="44"/>
      <c r="H7" s="44"/>
      <c r="I7" s="107" t="s">
        <v>18</v>
      </c>
    </row>
    <row r="8" spans="2:9" ht="21" customHeight="1" x14ac:dyDescent="0.2">
      <c r="B8" s="151"/>
      <c r="C8" s="124"/>
      <c r="D8" s="155"/>
      <c r="H8" s="5" t="s">
        <v>17</v>
      </c>
      <c r="I8" s="1"/>
    </row>
    <row r="9" spans="2:9" ht="21" customHeight="1" x14ac:dyDescent="0.2">
      <c r="B9" s="151"/>
      <c r="C9" s="124"/>
      <c r="D9" s="155"/>
      <c r="G9" s="5" t="s">
        <v>22</v>
      </c>
      <c r="I9" s="1"/>
    </row>
    <row r="10" spans="2:9" ht="21" customHeight="1" x14ac:dyDescent="0.2">
      <c r="B10" s="151"/>
      <c r="C10" s="124"/>
      <c r="D10" s="155"/>
      <c r="F10" s="5" t="s">
        <v>16</v>
      </c>
      <c r="I10" s="1"/>
    </row>
    <row r="11" spans="2:9" ht="21" customHeight="1" x14ac:dyDescent="0.2">
      <c r="B11" s="151"/>
      <c r="C11" s="124"/>
      <c r="D11" s="155"/>
      <c r="E11" s="52" t="s">
        <v>14</v>
      </c>
      <c r="F11" s="40"/>
      <c r="G11" s="40"/>
      <c r="H11" s="40"/>
      <c r="I11" s="61"/>
    </row>
    <row r="12" spans="2:9" ht="21" customHeight="1" x14ac:dyDescent="0.2">
      <c r="B12" s="151"/>
      <c r="C12" s="124"/>
      <c r="D12" s="25" t="s">
        <v>13</v>
      </c>
      <c r="I12" s="1"/>
    </row>
    <row r="13" spans="2:9" ht="21" customHeight="1" x14ac:dyDescent="0.2">
      <c r="B13" s="151"/>
      <c r="C13" s="124"/>
      <c r="D13" s="21" t="s">
        <v>12</v>
      </c>
      <c r="I13" s="1"/>
    </row>
    <row r="14" spans="2:9" ht="21" customHeight="1" thickBot="1" x14ac:dyDescent="0.25">
      <c r="B14" s="152"/>
      <c r="C14" s="154"/>
      <c r="D14" s="106" t="s">
        <v>11</v>
      </c>
      <c r="E14" s="2"/>
      <c r="F14" s="2"/>
      <c r="G14" s="2"/>
      <c r="H14" s="2"/>
      <c r="I14" s="3"/>
    </row>
  </sheetData>
  <mergeCells count="3">
    <mergeCell ref="B4:B14"/>
    <mergeCell ref="C4:C14"/>
    <mergeCell ref="D7:D11"/>
  </mergeCells>
  <pageMargins left="0.75" right="0.75" top="1" bottom="1" header="0.5" footer="0.5"/>
  <pageSetup paperSize="9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91509-2D6A-4C22-95B2-4D4715F9C431}">
  <dimension ref="B3:I14"/>
  <sheetViews>
    <sheetView showGridLines="0" workbookViewId="0">
      <selection activeCell="A15" sqref="A15:XFD28"/>
    </sheetView>
  </sheetViews>
  <sheetFormatPr defaultRowHeight="12.75" x14ac:dyDescent="0.2"/>
  <cols>
    <col min="2" max="3" width="3.28515625" customWidth="1"/>
    <col min="4" max="4" width="18.28515625" bestFit="1" customWidth="1"/>
    <col min="5" max="5" width="16.140625" bestFit="1" customWidth="1"/>
    <col min="6" max="6" width="14.42578125" customWidth="1"/>
    <col min="7" max="7" width="17.5703125" bestFit="1" customWidth="1"/>
    <col min="8" max="8" width="18.140625" customWidth="1"/>
    <col min="9" max="9" width="12.85546875" customWidth="1"/>
  </cols>
  <sheetData>
    <row r="3" spans="2:9" ht="21" customHeight="1" thickBot="1" x14ac:dyDescent="0.25"/>
    <row r="4" spans="2:9" ht="21" customHeight="1" x14ac:dyDescent="0.2">
      <c r="B4" s="150" t="s">
        <v>19</v>
      </c>
      <c r="C4" s="153" t="s">
        <v>20</v>
      </c>
      <c r="D4" s="88" t="s">
        <v>9</v>
      </c>
      <c r="E4" s="38"/>
      <c r="F4" s="38"/>
      <c r="G4" s="38"/>
      <c r="H4" s="38"/>
      <c r="I4" s="108"/>
    </row>
    <row r="5" spans="2:9" ht="21" customHeight="1" x14ac:dyDescent="0.2">
      <c r="B5" s="151"/>
      <c r="C5" s="124"/>
      <c r="D5" s="21" t="s">
        <v>8</v>
      </c>
      <c r="I5" s="1"/>
    </row>
    <row r="6" spans="2:9" ht="21" customHeight="1" x14ac:dyDescent="0.2">
      <c r="B6" s="151"/>
      <c r="C6" s="124"/>
      <c r="D6" s="24" t="s">
        <v>23</v>
      </c>
      <c r="I6" s="1"/>
    </row>
    <row r="7" spans="2:9" ht="21" customHeight="1" x14ac:dyDescent="0.2">
      <c r="B7" s="151"/>
      <c r="C7" s="124"/>
      <c r="D7" s="155" t="s">
        <v>21</v>
      </c>
      <c r="E7" s="44"/>
      <c r="F7" s="44"/>
      <c r="G7" s="44"/>
      <c r="H7" s="44"/>
      <c r="I7" s="58" t="s">
        <v>18</v>
      </c>
    </row>
    <row r="8" spans="2:9" ht="21" customHeight="1" x14ac:dyDescent="0.2">
      <c r="B8" s="151"/>
      <c r="C8" s="124"/>
      <c r="D8" s="155"/>
      <c r="H8" s="59" t="s">
        <v>17</v>
      </c>
      <c r="I8" s="1"/>
    </row>
    <row r="9" spans="2:9" ht="21" customHeight="1" x14ac:dyDescent="0.2">
      <c r="B9" s="151"/>
      <c r="C9" s="124"/>
      <c r="D9" s="155"/>
      <c r="G9" s="59" t="s">
        <v>22</v>
      </c>
      <c r="I9" s="1"/>
    </row>
    <row r="10" spans="2:9" ht="21" customHeight="1" x14ac:dyDescent="0.2">
      <c r="B10" s="151"/>
      <c r="C10" s="124"/>
      <c r="D10" s="155"/>
      <c r="F10" s="59" t="s">
        <v>16</v>
      </c>
      <c r="I10" s="1"/>
    </row>
    <row r="11" spans="2:9" ht="21" customHeight="1" x14ac:dyDescent="0.2">
      <c r="B11" s="151"/>
      <c r="C11" s="124"/>
      <c r="D11" s="155"/>
      <c r="E11" s="60" t="s">
        <v>14</v>
      </c>
      <c r="F11" s="40"/>
      <c r="G11" s="40"/>
      <c r="H11" s="40"/>
      <c r="I11" s="61"/>
    </row>
    <row r="12" spans="2:9" ht="21" customHeight="1" x14ac:dyDescent="0.2">
      <c r="B12" s="151"/>
      <c r="C12" s="124"/>
      <c r="D12" s="25" t="s">
        <v>13</v>
      </c>
      <c r="E12" s="62"/>
      <c r="F12" s="44"/>
      <c r="G12" s="44"/>
      <c r="H12" s="44"/>
      <c r="I12" s="1"/>
    </row>
    <row r="13" spans="2:9" ht="21" customHeight="1" x14ac:dyDescent="0.2">
      <c r="B13" s="151"/>
      <c r="C13" s="124"/>
      <c r="D13" s="21" t="s">
        <v>12</v>
      </c>
      <c r="E13" s="63"/>
      <c r="I13" s="1"/>
    </row>
    <row r="14" spans="2:9" ht="21" customHeight="1" thickBot="1" x14ac:dyDescent="0.25">
      <c r="B14" s="152"/>
      <c r="C14" s="154"/>
      <c r="D14" s="106" t="s">
        <v>11</v>
      </c>
      <c r="E14" s="109"/>
      <c r="F14" s="2"/>
      <c r="G14" s="2"/>
      <c r="H14" s="2"/>
      <c r="I14" s="3"/>
    </row>
  </sheetData>
  <mergeCells count="3">
    <mergeCell ref="B4:B14"/>
    <mergeCell ref="C4:C14"/>
    <mergeCell ref="D7:D11"/>
  </mergeCells>
  <pageMargins left="0.75" right="0.75" top="1" bottom="1" header="0.5" footer="0.5"/>
  <pageSetup paperSize="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F58D0-3CC8-4F64-9144-44CA9AA5D7CE}">
  <dimension ref="B3:I14"/>
  <sheetViews>
    <sheetView showGridLines="0" workbookViewId="0">
      <selection activeCell="J1" sqref="J1:M1048576"/>
    </sheetView>
  </sheetViews>
  <sheetFormatPr defaultRowHeight="12.75" x14ac:dyDescent="0.2"/>
  <cols>
    <col min="2" max="3" width="3.28515625" customWidth="1"/>
    <col min="4" max="4" width="17.140625" bestFit="1" customWidth="1"/>
    <col min="5" max="5" width="16.140625" bestFit="1" customWidth="1"/>
    <col min="6" max="6" width="14.42578125" customWidth="1"/>
    <col min="7" max="7" width="17.5703125" bestFit="1" customWidth="1"/>
    <col min="8" max="8" width="18.140625" customWidth="1"/>
    <col min="9" max="9" width="12.85546875" customWidth="1"/>
  </cols>
  <sheetData>
    <row r="3" spans="2:9" ht="21" customHeight="1" thickBot="1" x14ac:dyDescent="0.25"/>
    <row r="4" spans="2:9" ht="21" customHeight="1" x14ac:dyDescent="0.2">
      <c r="B4" s="150" t="s">
        <v>19</v>
      </c>
      <c r="C4" s="153" t="s">
        <v>20</v>
      </c>
      <c r="D4" s="102" t="s">
        <v>9</v>
      </c>
      <c r="E4" s="7"/>
      <c r="F4" s="7"/>
      <c r="G4" s="7"/>
      <c r="H4" s="7"/>
      <c r="I4" s="9"/>
    </row>
    <row r="5" spans="2:9" ht="21" customHeight="1" x14ac:dyDescent="0.2">
      <c r="B5" s="151"/>
      <c r="C5" s="124"/>
      <c r="D5" s="57" t="s">
        <v>8</v>
      </c>
      <c r="E5" s="12"/>
      <c r="F5" s="12"/>
      <c r="G5" s="12"/>
      <c r="H5" s="10"/>
      <c r="I5" s="1"/>
    </row>
    <row r="6" spans="2:9" ht="21" customHeight="1" thickBot="1" x14ac:dyDescent="0.25">
      <c r="B6" s="151"/>
      <c r="C6" s="124"/>
      <c r="D6" s="21" t="s">
        <v>23</v>
      </c>
      <c r="I6" s="1"/>
    </row>
    <row r="7" spans="2:9" ht="21" customHeight="1" x14ac:dyDescent="0.2">
      <c r="B7" s="151"/>
      <c r="C7" s="124"/>
      <c r="D7" s="155" t="s">
        <v>21</v>
      </c>
      <c r="E7" s="6"/>
      <c r="F7" s="6"/>
      <c r="G7" s="6"/>
      <c r="H7" s="6"/>
      <c r="I7" s="4" t="s">
        <v>18</v>
      </c>
    </row>
    <row r="8" spans="2:9" ht="21" customHeight="1" x14ac:dyDescent="0.2">
      <c r="B8" s="151"/>
      <c r="C8" s="124"/>
      <c r="D8" s="155"/>
      <c r="H8" s="5" t="s">
        <v>17</v>
      </c>
      <c r="I8" s="1"/>
    </row>
    <row r="9" spans="2:9" ht="21" customHeight="1" x14ac:dyDescent="0.2">
      <c r="B9" s="151"/>
      <c r="C9" s="124"/>
      <c r="D9" s="155"/>
      <c r="G9" s="5" t="s">
        <v>22</v>
      </c>
      <c r="I9" s="1"/>
    </row>
    <row r="10" spans="2:9" ht="21" customHeight="1" x14ac:dyDescent="0.2">
      <c r="B10" s="151"/>
      <c r="C10" s="124"/>
      <c r="D10" s="155"/>
      <c r="F10" s="5" t="s">
        <v>16</v>
      </c>
      <c r="I10" s="1"/>
    </row>
    <row r="11" spans="2:9" ht="21" customHeight="1" thickBot="1" x14ac:dyDescent="0.25">
      <c r="B11" s="151"/>
      <c r="C11" s="124"/>
      <c r="D11" s="155"/>
      <c r="E11" s="41" t="s">
        <v>14</v>
      </c>
      <c r="I11" s="1"/>
    </row>
    <row r="12" spans="2:9" ht="21" customHeight="1" x14ac:dyDescent="0.2">
      <c r="B12" s="151"/>
      <c r="C12" s="124"/>
      <c r="D12" s="54" t="s">
        <v>13</v>
      </c>
      <c r="E12" s="32"/>
      <c r="F12" s="6"/>
      <c r="G12" s="6"/>
      <c r="H12" s="6"/>
      <c r="I12" s="23"/>
    </row>
    <row r="13" spans="2:9" ht="21" customHeight="1" x14ac:dyDescent="0.2">
      <c r="B13" s="151"/>
      <c r="C13" s="124"/>
      <c r="D13" s="54" t="s">
        <v>12</v>
      </c>
      <c r="E13" s="33"/>
      <c r="I13" s="1"/>
    </row>
    <row r="14" spans="2:9" ht="21" customHeight="1" thickBot="1" x14ac:dyDescent="0.25">
      <c r="B14" s="152"/>
      <c r="C14" s="154"/>
      <c r="D14" s="110" t="s">
        <v>11</v>
      </c>
      <c r="E14" s="34"/>
      <c r="F14" s="2"/>
      <c r="G14" s="2"/>
      <c r="H14" s="2"/>
      <c r="I14" s="3"/>
    </row>
  </sheetData>
  <mergeCells count="3">
    <mergeCell ref="B4:B14"/>
    <mergeCell ref="C4:C14"/>
    <mergeCell ref="D7:D11"/>
  </mergeCells>
  <pageMargins left="0.75" right="0.75" top="1" bottom="1" header="0.5" footer="0.5"/>
  <pageSetup paperSize="9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7F6B0-B350-42A2-9333-29C79B6380DD}">
  <dimension ref="B3:I14"/>
  <sheetViews>
    <sheetView showGridLines="0" workbookViewId="0">
      <selection activeCell="J1" sqref="J1:L1048576"/>
    </sheetView>
  </sheetViews>
  <sheetFormatPr defaultRowHeight="12.75" x14ac:dyDescent="0.2"/>
  <cols>
    <col min="2" max="3" width="3.28515625" customWidth="1"/>
    <col min="4" max="4" width="17.140625" bestFit="1" customWidth="1"/>
    <col min="5" max="5" width="16.140625" bestFit="1" customWidth="1"/>
    <col min="6" max="6" width="14.42578125" customWidth="1"/>
    <col min="7" max="7" width="17.5703125" bestFit="1" customWidth="1"/>
    <col min="8" max="8" width="18.140625" customWidth="1"/>
    <col min="9" max="9" width="12.85546875" customWidth="1"/>
  </cols>
  <sheetData>
    <row r="3" spans="2:9" ht="21" customHeight="1" thickBot="1" x14ac:dyDescent="0.25"/>
    <row r="4" spans="2:9" ht="21" customHeight="1" x14ac:dyDescent="0.2">
      <c r="B4" s="150" t="s">
        <v>19</v>
      </c>
      <c r="C4" s="153" t="s">
        <v>20</v>
      </c>
      <c r="D4" s="111" t="s">
        <v>9</v>
      </c>
      <c r="E4" s="8"/>
      <c r="F4" s="7"/>
      <c r="G4" s="7"/>
      <c r="H4" s="7"/>
      <c r="I4" s="9"/>
    </row>
    <row r="5" spans="2:9" ht="21" customHeight="1" x14ac:dyDescent="0.2">
      <c r="B5" s="151"/>
      <c r="C5" s="124"/>
      <c r="D5" s="64" t="s">
        <v>8</v>
      </c>
      <c r="E5" s="11"/>
      <c r="F5" s="12"/>
      <c r="G5" s="12"/>
      <c r="H5" s="10"/>
      <c r="I5" s="1"/>
    </row>
    <row r="6" spans="2:9" ht="21" customHeight="1" thickBot="1" x14ac:dyDescent="0.25">
      <c r="B6" s="151"/>
      <c r="C6" s="124"/>
      <c r="D6" s="65" t="s">
        <v>23</v>
      </c>
      <c r="E6" s="13"/>
      <c r="F6" s="14"/>
      <c r="G6" s="14"/>
      <c r="H6" s="20"/>
      <c r="I6" s="1"/>
    </row>
    <row r="7" spans="2:9" ht="21" customHeight="1" x14ac:dyDescent="0.2">
      <c r="B7" s="151"/>
      <c r="C7" s="124"/>
      <c r="D7" s="155" t="s">
        <v>21</v>
      </c>
      <c r="E7" s="6"/>
      <c r="F7" s="6"/>
      <c r="G7" s="6"/>
      <c r="H7" s="6"/>
      <c r="I7" s="4" t="s">
        <v>18</v>
      </c>
    </row>
    <row r="8" spans="2:9" ht="21" customHeight="1" x14ac:dyDescent="0.2">
      <c r="B8" s="151"/>
      <c r="C8" s="124"/>
      <c r="D8" s="155"/>
      <c r="H8" s="5" t="s">
        <v>17</v>
      </c>
      <c r="I8" s="1"/>
    </row>
    <row r="9" spans="2:9" ht="21" customHeight="1" x14ac:dyDescent="0.2">
      <c r="B9" s="151"/>
      <c r="C9" s="124"/>
      <c r="D9" s="155"/>
      <c r="G9" s="5" t="s">
        <v>22</v>
      </c>
      <c r="I9" s="1"/>
    </row>
    <row r="10" spans="2:9" ht="21" customHeight="1" x14ac:dyDescent="0.2">
      <c r="B10" s="151"/>
      <c r="C10" s="124"/>
      <c r="D10" s="155"/>
      <c r="F10" s="5" t="s">
        <v>16</v>
      </c>
      <c r="I10" s="1"/>
    </row>
    <row r="11" spans="2:9" ht="21" customHeight="1" thickBot="1" x14ac:dyDescent="0.25">
      <c r="B11" s="151"/>
      <c r="C11" s="124"/>
      <c r="D11" s="155"/>
      <c r="E11" s="41" t="s">
        <v>14</v>
      </c>
      <c r="I11" s="1"/>
    </row>
    <row r="12" spans="2:9" ht="21" customHeight="1" x14ac:dyDescent="0.2">
      <c r="B12" s="151"/>
      <c r="C12" s="124"/>
      <c r="D12" s="64" t="s">
        <v>13</v>
      </c>
      <c r="E12" s="32"/>
      <c r="F12" s="6"/>
      <c r="G12" s="6"/>
      <c r="H12" s="6"/>
      <c r="I12" s="23"/>
    </row>
    <row r="13" spans="2:9" ht="21" customHeight="1" x14ac:dyDescent="0.2">
      <c r="B13" s="151"/>
      <c r="C13" s="124"/>
      <c r="D13" s="64" t="s">
        <v>12</v>
      </c>
      <c r="E13" s="33"/>
      <c r="I13" s="1"/>
    </row>
    <row r="14" spans="2:9" ht="21" customHeight="1" thickBot="1" x14ac:dyDescent="0.25">
      <c r="B14" s="152"/>
      <c r="C14" s="154"/>
      <c r="D14" s="112" t="s">
        <v>11</v>
      </c>
      <c r="E14" s="34"/>
      <c r="F14" s="2"/>
      <c r="G14" s="2"/>
      <c r="H14" s="2"/>
      <c r="I14" s="3"/>
    </row>
  </sheetData>
  <mergeCells count="3">
    <mergeCell ref="B4:B14"/>
    <mergeCell ref="C4:C14"/>
    <mergeCell ref="D7:D11"/>
  </mergeCells>
  <pageMargins left="0.75" right="0.75" top="1" bottom="1" header="0.5" footer="0.5"/>
  <pageSetup paperSize="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06511-C54F-45A4-844D-2F3BF1A54E88}">
  <dimension ref="B3:I14"/>
  <sheetViews>
    <sheetView showGridLines="0" workbookViewId="0">
      <selection activeCell="J1" sqref="J1:L1048576"/>
    </sheetView>
  </sheetViews>
  <sheetFormatPr defaultRowHeight="12.75" x14ac:dyDescent="0.2"/>
  <cols>
    <col min="2" max="3" width="3.28515625" customWidth="1"/>
    <col min="4" max="4" width="18.5703125" bestFit="1" customWidth="1"/>
    <col min="5" max="5" width="16.140625" bestFit="1" customWidth="1"/>
    <col min="6" max="6" width="14.42578125" customWidth="1"/>
    <col min="7" max="7" width="17.5703125" bestFit="1" customWidth="1"/>
    <col min="8" max="8" width="18.140625" customWidth="1"/>
    <col min="9" max="9" width="12.85546875" customWidth="1"/>
  </cols>
  <sheetData>
    <row r="3" spans="2:9" ht="21" customHeight="1" thickBot="1" x14ac:dyDescent="0.25"/>
    <row r="4" spans="2:9" ht="21" customHeight="1" x14ac:dyDescent="0.2">
      <c r="B4" s="150" t="s">
        <v>19</v>
      </c>
      <c r="C4" s="153" t="s">
        <v>20</v>
      </c>
      <c r="D4" s="102" t="s">
        <v>9</v>
      </c>
      <c r="E4" s="7"/>
      <c r="F4" s="7"/>
      <c r="G4" s="7"/>
      <c r="H4" s="7"/>
      <c r="I4" s="9"/>
    </row>
    <row r="5" spans="2:9" ht="21" customHeight="1" x14ac:dyDescent="0.2">
      <c r="B5" s="151"/>
      <c r="C5" s="124"/>
      <c r="D5" s="21" t="s">
        <v>8</v>
      </c>
      <c r="E5" s="12"/>
      <c r="F5" s="12"/>
      <c r="G5" s="12"/>
      <c r="H5" s="10"/>
      <c r="I5" s="1"/>
    </row>
    <row r="6" spans="2:9" ht="21" customHeight="1" thickBot="1" x14ac:dyDescent="0.25">
      <c r="B6" s="151"/>
      <c r="C6" s="124"/>
      <c r="D6" s="21" t="s">
        <v>23</v>
      </c>
      <c r="E6" s="14"/>
      <c r="F6" s="14"/>
      <c r="G6" s="14"/>
      <c r="H6" s="20"/>
      <c r="I6" s="1"/>
    </row>
    <row r="7" spans="2:9" ht="21" customHeight="1" x14ac:dyDescent="0.2">
      <c r="B7" s="151"/>
      <c r="C7" s="124"/>
      <c r="D7" s="155" t="s">
        <v>21</v>
      </c>
      <c r="E7" s="6"/>
      <c r="F7" s="6"/>
      <c r="G7" s="6"/>
      <c r="H7" s="6"/>
      <c r="I7" s="4" t="s">
        <v>18</v>
      </c>
    </row>
    <row r="8" spans="2:9" ht="21" customHeight="1" x14ac:dyDescent="0.2">
      <c r="B8" s="151"/>
      <c r="C8" s="124"/>
      <c r="D8" s="155"/>
      <c r="H8" s="5" t="s">
        <v>17</v>
      </c>
      <c r="I8" s="1"/>
    </row>
    <row r="9" spans="2:9" ht="21" customHeight="1" x14ac:dyDescent="0.2">
      <c r="B9" s="151"/>
      <c r="C9" s="124"/>
      <c r="D9" s="155"/>
      <c r="G9" s="5" t="s">
        <v>22</v>
      </c>
      <c r="I9" s="1"/>
    </row>
    <row r="10" spans="2:9" ht="21" customHeight="1" x14ac:dyDescent="0.2">
      <c r="B10" s="151"/>
      <c r="C10" s="124"/>
      <c r="D10" s="155"/>
      <c r="F10" s="5" t="s">
        <v>16</v>
      </c>
      <c r="I10" s="1"/>
    </row>
    <row r="11" spans="2:9" ht="21" customHeight="1" thickBot="1" x14ac:dyDescent="0.25">
      <c r="B11" s="151"/>
      <c r="C11" s="124"/>
      <c r="D11" s="155"/>
      <c r="E11" s="28" t="s">
        <v>14</v>
      </c>
      <c r="F11" s="2"/>
      <c r="G11" s="2"/>
      <c r="H11" s="2"/>
      <c r="I11" s="3"/>
    </row>
    <row r="12" spans="2:9" ht="21" customHeight="1" x14ac:dyDescent="0.2">
      <c r="B12" s="151"/>
      <c r="C12" s="124"/>
      <c r="D12" s="57" t="s">
        <v>13</v>
      </c>
      <c r="E12" s="66"/>
      <c r="F12" s="42"/>
      <c r="G12" s="42"/>
      <c r="H12" s="67"/>
      <c r="I12" s="23"/>
    </row>
    <row r="13" spans="2:9" ht="21" customHeight="1" x14ac:dyDescent="0.2">
      <c r="B13" s="151"/>
      <c r="C13" s="124"/>
      <c r="D13" s="21" t="s">
        <v>12</v>
      </c>
      <c r="I13" s="1"/>
    </row>
    <row r="14" spans="2:9" ht="21" customHeight="1" thickBot="1" x14ac:dyDescent="0.25">
      <c r="B14" s="152"/>
      <c r="C14" s="154"/>
      <c r="D14" s="106" t="s">
        <v>11</v>
      </c>
      <c r="E14" s="2"/>
      <c r="F14" s="2"/>
      <c r="G14" s="2"/>
      <c r="H14" s="2"/>
      <c r="I14" s="3"/>
    </row>
  </sheetData>
  <mergeCells count="3">
    <mergeCell ref="B4:B14"/>
    <mergeCell ref="C4:C14"/>
    <mergeCell ref="D7:D11"/>
  </mergeCells>
  <pageMargins left="0.75" right="0.75" top="1" bottom="1" header="0.5" footer="0.5"/>
  <pageSetup paperSize="9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32F10-4D2B-4E23-85FD-5C86B82DE16A}">
  <dimension ref="B3:I14"/>
  <sheetViews>
    <sheetView showGridLines="0" workbookViewId="0">
      <selection activeCell="J1" sqref="J1:M1048576"/>
    </sheetView>
  </sheetViews>
  <sheetFormatPr defaultRowHeight="12.75" x14ac:dyDescent="0.2"/>
  <cols>
    <col min="2" max="3" width="3.28515625" customWidth="1"/>
    <col min="4" max="4" width="17.140625" bestFit="1" customWidth="1"/>
    <col min="5" max="5" width="16.140625" bestFit="1" customWidth="1"/>
    <col min="6" max="6" width="14.42578125" customWidth="1"/>
    <col min="7" max="7" width="17.5703125" bestFit="1" customWidth="1"/>
    <col min="8" max="8" width="18.140625" customWidth="1"/>
    <col min="9" max="9" width="12.85546875" customWidth="1"/>
  </cols>
  <sheetData>
    <row r="3" spans="2:9" ht="21" customHeight="1" thickBot="1" x14ac:dyDescent="0.25"/>
    <row r="4" spans="2:9" ht="21" customHeight="1" x14ac:dyDescent="0.2">
      <c r="B4" s="150" t="s">
        <v>19</v>
      </c>
      <c r="C4" s="153" t="s">
        <v>20</v>
      </c>
      <c r="D4" s="102" t="s">
        <v>9</v>
      </c>
      <c r="E4" s="7"/>
      <c r="F4" s="7"/>
      <c r="G4" s="7"/>
      <c r="H4" s="7"/>
      <c r="I4" s="9"/>
    </row>
    <row r="5" spans="2:9" ht="21" customHeight="1" x14ac:dyDescent="0.2">
      <c r="B5" s="151"/>
      <c r="C5" s="124"/>
      <c r="D5" s="21" t="s">
        <v>8</v>
      </c>
      <c r="E5" s="12"/>
      <c r="F5" s="12"/>
      <c r="G5" s="12"/>
      <c r="H5" s="10"/>
      <c r="I5" s="1"/>
    </row>
    <row r="6" spans="2:9" ht="21" customHeight="1" thickBot="1" x14ac:dyDescent="0.25">
      <c r="B6" s="151"/>
      <c r="C6" s="124"/>
      <c r="D6" s="21" t="s">
        <v>23</v>
      </c>
      <c r="E6" s="14"/>
      <c r="F6" s="14"/>
      <c r="G6" s="14"/>
      <c r="H6" s="20"/>
      <c r="I6" s="1"/>
    </row>
    <row r="7" spans="2:9" ht="21" customHeight="1" x14ac:dyDescent="0.2">
      <c r="B7" s="151"/>
      <c r="C7" s="124"/>
      <c r="D7" s="155" t="s">
        <v>21</v>
      </c>
      <c r="E7" s="6"/>
      <c r="F7" s="6"/>
      <c r="G7" s="6"/>
      <c r="H7" s="6"/>
      <c r="I7" s="4" t="s">
        <v>18</v>
      </c>
    </row>
    <row r="8" spans="2:9" ht="21" customHeight="1" x14ac:dyDescent="0.2">
      <c r="B8" s="151"/>
      <c r="C8" s="124"/>
      <c r="D8" s="155"/>
      <c r="H8" s="5" t="s">
        <v>17</v>
      </c>
      <c r="I8" s="1"/>
    </row>
    <row r="9" spans="2:9" ht="21" customHeight="1" x14ac:dyDescent="0.2">
      <c r="B9" s="151"/>
      <c r="C9" s="124"/>
      <c r="D9" s="155"/>
      <c r="G9" s="5" t="s">
        <v>22</v>
      </c>
      <c r="I9" s="1"/>
    </row>
    <row r="10" spans="2:9" ht="21" customHeight="1" x14ac:dyDescent="0.2">
      <c r="B10" s="151"/>
      <c r="C10" s="124"/>
      <c r="D10" s="155"/>
      <c r="F10" s="5" t="s">
        <v>16</v>
      </c>
      <c r="I10" s="1"/>
    </row>
    <row r="11" spans="2:9" ht="21" customHeight="1" thickBot="1" x14ac:dyDescent="0.25">
      <c r="B11" s="151"/>
      <c r="C11" s="124"/>
      <c r="D11" s="155"/>
      <c r="E11" s="28" t="s">
        <v>14</v>
      </c>
      <c r="F11" s="2"/>
      <c r="G11" s="2"/>
      <c r="H11" s="2"/>
      <c r="I11" s="3"/>
    </row>
    <row r="12" spans="2:9" ht="21" customHeight="1" x14ac:dyDescent="0.2">
      <c r="B12" s="151"/>
      <c r="C12" s="124"/>
      <c r="D12" s="21" t="s">
        <v>13</v>
      </c>
      <c r="E12" s="42"/>
      <c r="F12" s="42"/>
      <c r="G12" s="42"/>
      <c r="H12" s="19"/>
      <c r="I12" s="23"/>
    </row>
    <row r="13" spans="2:9" ht="21" customHeight="1" x14ac:dyDescent="0.2">
      <c r="B13" s="151"/>
      <c r="C13" s="124"/>
      <c r="D13" s="57" t="s">
        <v>12</v>
      </c>
      <c r="E13" s="68"/>
      <c r="F13" s="69"/>
      <c r="G13" s="70"/>
      <c r="H13" s="71"/>
      <c r="I13" s="1"/>
    </row>
    <row r="14" spans="2:9" ht="21" customHeight="1" thickBot="1" x14ac:dyDescent="0.25">
      <c r="B14" s="152"/>
      <c r="C14" s="154"/>
      <c r="D14" s="106" t="s">
        <v>11</v>
      </c>
      <c r="E14" s="2"/>
      <c r="F14" s="2"/>
      <c r="G14" s="2"/>
      <c r="H14" s="2"/>
      <c r="I14" s="3"/>
    </row>
  </sheetData>
  <mergeCells count="3">
    <mergeCell ref="B4:B14"/>
    <mergeCell ref="C4:C14"/>
    <mergeCell ref="D7:D11"/>
  </mergeCells>
  <pageMargins left="0.75" right="0.75" top="1" bottom="1" header="0.5" footer="0.5"/>
  <pageSetup paperSize="9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B48ED-994E-45CA-8778-99168A3665FF}">
  <dimension ref="B3:I14"/>
  <sheetViews>
    <sheetView showGridLines="0" workbookViewId="0">
      <selection activeCell="J1" sqref="J1:L1048576"/>
    </sheetView>
  </sheetViews>
  <sheetFormatPr defaultRowHeight="12.75" x14ac:dyDescent="0.2"/>
  <cols>
    <col min="2" max="3" width="3.28515625" customWidth="1"/>
    <col min="4" max="4" width="17.140625" bestFit="1" customWidth="1"/>
    <col min="5" max="5" width="16.140625" bestFit="1" customWidth="1"/>
    <col min="6" max="6" width="14.42578125" customWidth="1"/>
    <col min="7" max="7" width="17.5703125" bestFit="1" customWidth="1"/>
    <col min="8" max="8" width="18.140625" customWidth="1"/>
    <col min="9" max="9" width="12.85546875" customWidth="1"/>
  </cols>
  <sheetData>
    <row r="3" spans="2:9" ht="21" customHeight="1" thickBot="1" x14ac:dyDescent="0.25"/>
    <row r="4" spans="2:9" ht="21" customHeight="1" x14ac:dyDescent="0.2">
      <c r="B4" s="150" t="s">
        <v>19</v>
      </c>
      <c r="C4" s="153" t="s">
        <v>20</v>
      </c>
      <c r="D4" s="102" t="s">
        <v>9</v>
      </c>
      <c r="E4" s="7"/>
      <c r="F4" s="7"/>
      <c r="G4" s="7"/>
      <c r="H4" s="7"/>
      <c r="I4" s="9"/>
    </row>
    <row r="5" spans="2:9" ht="21" customHeight="1" x14ac:dyDescent="0.2">
      <c r="B5" s="151"/>
      <c r="C5" s="124"/>
      <c r="D5" s="21" t="s">
        <v>8</v>
      </c>
      <c r="E5" s="12"/>
      <c r="F5" s="12"/>
      <c r="G5" s="12"/>
      <c r="H5" s="10"/>
      <c r="I5" s="1"/>
    </row>
    <row r="6" spans="2:9" ht="21" customHeight="1" thickBot="1" x14ac:dyDescent="0.25">
      <c r="B6" s="151"/>
      <c r="C6" s="124"/>
      <c r="D6" s="21" t="s">
        <v>23</v>
      </c>
      <c r="E6" s="14"/>
      <c r="F6" s="14"/>
      <c r="G6" s="14"/>
      <c r="H6" s="20"/>
      <c r="I6" s="1"/>
    </row>
    <row r="7" spans="2:9" ht="21" customHeight="1" x14ac:dyDescent="0.2">
      <c r="B7" s="151"/>
      <c r="C7" s="124"/>
      <c r="D7" s="155" t="s">
        <v>21</v>
      </c>
      <c r="E7" s="6"/>
      <c r="F7" s="6"/>
      <c r="G7" s="6"/>
      <c r="H7" s="6"/>
      <c r="I7" s="4" t="s">
        <v>18</v>
      </c>
    </row>
    <row r="8" spans="2:9" ht="21" customHeight="1" x14ac:dyDescent="0.2">
      <c r="B8" s="151"/>
      <c r="C8" s="124"/>
      <c r="D8" s="155"/>
      <c r="H8" s="5" t="s">
        <v>17</v>
      </c>
      <c r="I8" s="1"/>
    </row>
    <row r="9" spans="2:9" ht="21" customHeight="1" x14ac:dyDescent="0.2">
      <c r="B9" s="151"/>
      <c r="C9" s="124"/>
      <c r="D9" s="155"/>
      <c r="G9" s="5" t="s">
        <v>22</v>
      </c>
      <c r="I9" s="1"/>
    </row>
    <row r="10" spans="2:9" ht="21" customHeight="1" x14ac:dyDescent="0.2">
      <c r="B10" s="151"/>
      <c r="C10" s="124"/>
      <c r="D10" s="155"/>
      <c r="F10" s="5" t="s">
        <v>16</v>
      </c>
      <c r="I10" s="1"/>
    </row>
    <row r="11" spans="2:9" ht="21" customHeight="1" thickBot="1" x14ac:dyDescent="0.25">
      <c r="B11" s="151"/>
      <c r="C11" s="124"/>
      <c r="D11" s="155"/>
      <c r="E11" s="28" t="s">
        <v>14</v>
      </c>
      <c r="F11" s="2"/>
      <c r="G11" s="2"/>
      <c r="H11" s="2"/>
      <c r="I11" s="3"/>
    </row>
    <row r="12" spans="2:9" ht="21" customHeight="1" x14ac:dyDescent="0.2">
      <c r="B12" s="151"/>
      <c r="C12" s="124"/>
      <c r="D12" s="21" t="s">
        <v>13</v>
      </c>
      <c r="E12" s="15"/>
      <c r="F12" s="15"/>
      <c r="G12" s="15"/>
      <c r="H12" s="19"/>
      <c r="I12" s="1"/>
    </row>
    <row r="13" spans="2:9" ht="21" customHeight="1" x14ac:dyDescent="0.2">
      <c r="B13" s="151"/>
      <c r="C13" s="124"/>
      <c r="D13" s="21" t="s">
        <v>12</v>
      </c>
      <c r="E13" s="16"/>
      <c r="F13" s="16"/>
      <c r="G13" s="17"/>
      <c r="H13" s="20"/>
      <c r="I13" s="1"/>
    </row>
    <row r="14" spans="2:9" ht="21" customHeight="1" thickBot="1" x14ac:dyDescent="0.25">
      <c r="B14" s="152"/>
      <c r="C14" s="154"/>
      <c r="D14" s="113" t="s">
        <v>11</v>
      </c>
      <c r="E14" s="29"/>
      <c r="F14" s="18"/>
      <c r="G14" s="2"/>
      <c r="H14" s="2"/>
      <c r="I14" s="3"/>
    </row>
  </sheetData>
  <mergeCells count="3">
    <mergeCell ref="B4:B14"/>
    <mergeCell ref="C4:C14"/>
    <mergeCell ref="D7:D11"/>
  </mergeCells>
  <pageMargins left="0.75" right="0.75" top="1" bottom="1" header="0.5" footer="0.5"/>
  <pageSetup paperSize="9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EB757-BE7F-4A07-A32F-9CFF752A2D4C}">
  <dimension ref="B2:H16"/>
  <sheetViews>
    <sheetView showGridLines="0" workbookViewId="0"/>
  </sheetViews>
  <sheetFormatPr defaultRowHeight="12.75" x14ac:dyDescent="0.2"/>
  <cols>
    <col min="2" max="3" width="3.28515625" bestFit="1" customWidth="1"/>
    <col min="4" max="4" width="19.5703125" bestFit="1" customWidth="1"/>
    <col min="5" max="5" width="10.5703125" bestFit="1" customWidth="1"/>
    <col min="6" max="6" width="7.5703125" bestFit="1" customWidth="1"/>
    <col min="7" max="7" width="8.7109375" bestFit="1" customWidth="1"/>
    <col min="8" max="8" width="9.28515625" bestFit="1" customWidth="1"/>
    <col min="9" max="9" width="8.28515625" bestFit="1" customWidth="1"/>
    <col min="10" max="10" width="7.5703125" bestFit="1" customWidth="1"/>
  </cols>
  <sheetData>
    <row r="2" spans="2:8" x14ac:dyDescent="0.2">
      <c r="D2" s="26" t="s">
        <v>25</v>
      </c>
    </row>
    <row r="3" spans="2:8" ht="13.5" customHeight="1" x14ac:dyDescent="0.2">
      <c r="E3" s="77" t="s">
        <v>28</v>
      </c>
      <c r="F3" s="78" t="s">
        <v>24</v>
      </c>
      <c r="G3" s="78" t="s">
        <v>27</v>
      </c>
      <c r="H3" s="79" t="s">
        <v>26</v>
      </c>
    </row>
    <row r="4" spans="2:8" x14ac:dyDescent="0.2">
      <c r="B4" s="156" t="s">
        <v>19</v>
      </c>
      <c r="C4" s="156" t="s">
        <v>20</v>
      </c>
      <c r="D4" s="22" t="s">
        <v>9</v>
      </c>
      <c r="E4" s="72"/>
      <c r="F4" s="72"/>
      <c r="G4" s="72"/>
      <c r="H4" s="72"/>
    </row>
    <row r="5" spans="2:8" x14ac:dyDescent="0.2">
      <c r="B5" s="141"/>
      <c r="C5" s="141"/>
      <c r="D5" s="22" t="s">
        <v>8</v>
      </c>
      <c r="E5" s="73"/>
      <c r="F5" s="73">
        <v>500</v>
      </c>
      <c r="G5" s="73">
        <v>500</v>
      </c>
      <c r="H5" s="73">
        <f>E5*F5-G5*F5</f>
        <v>-250000</v>
      </c>
    </row>
    <row r="6" spans="2:8" ht="13.5" thickBot="1" x14ac:dyDescent="0.25">
      <c r="B6" s="141"/>
      <c r="C6" s="141"/>
      <c r="D6" s="91" t="s">
        <v>23</v>
      </c>
      <c r="E6" s="92">
        <v>1000</v>
      </c>
      <c r="F6" s="92">
        <v>150</v>
      </c>
      <c r="G6" s="92">
        <v>4500</v>
      </c>
      <c r="H6" s="92">
        <f>E6*F6-G6*F6</f>
        <v>-525000</v>
      </c>
    </row>
    <row r="7" spans="2:8" x14ac:dyDescent="0.2">
      <c r="B7" s="141"/>
      <c r="C7" s="141"/>
      <c r="D7" s="93" t="s">
        <v>18</v>
      </c>
      <c r="E7" s="94"/>
      <c r="F7" s="94">
        <v>300000</v>
      </c>
      <c r="G7" s="94"/>
      <c r="H7" s="94"/>
    </row>
    <row r="8" spans="2:8" x14ac:dyDescent="0.2">
      <c r="B8" s="141"/>
      <c r="C8" s="141"/>
      <c r="D8" s="46" t="s">
        <v>17</v>
      </c>
      <c r="E8" s="75">
        <v>9600</v>
      </c>
      <c r="F8" s="73">
        <v>340</v>
      </c>
      <c r="G8" s="75">
        <v>5000</v>
      </c>
      <c r="H8" s="75">
        <f>E8*F8-G8*F8</f>
        <v>1564000</v>
      </c>
    </row>
    <row r="9" spans="2:8" x14ac:dyDescent="0.2">
      <c r="B9" s="141"/>
      <c r="C9" s="141"/>
      <c r="D9" s="46" t="s">
        <v>22</v>
      </c>
      <c r="E9" s="73"/>
      <c r="F9" s="75">
        <v>5</v>
      </c>
      <c r="G9" s="73">
        <v>15000</v>
      </c>
      <c r="H9" s="73">
        <f>E9*F9-G9*F9</f>
        <v>-75000</v>
      </c>
    </row>
    <row r="10" spans="2:8" x14ac:dyDescent="0.2">
      <c r="B10" s="141"/>
      <c r="C10" s="141"/>
      <c r="D10" s="46" t="s">
        <v>16</v>
      </c>
      <c r="E10" s="73"/>
      <c r="F10" s="75">
        <v>15</v>
      </c>
      <c r="G10" s="73">
        <v>20000</v>
      </c>
      <c r="H10" s="73">
        <f>E10*F10-G10*F10</f>
        <v>-300000</v>
      </c>
    </row>
    <row r="11" spans="2:8" ht="13.5" thickBot="1" x14ac:dyDescent="0.25">
      <c r="B11" s="141"/>
      <c r="C11" s="141"/>
      <c r="D11" s="85" t="s">
        <v>14</v>
      </c>
      <c r="E11" s="86"/>
      <c r="F11" s="86">
        <v>10</v>
      </c>
      <c r="G11" s="86">
        <v>50000</v>
      </c>
      <c r="H11" s="87">
        <f>E11*F11-G11*F11</f>
        <v>-500000</v>
      </c>
    </row>
    <row r="12" spans="2:8" x14ac:dyDescent="0.2">
      <c r="B12" s="141"/>
      <c r="C12" s="141"/>
      <c r="D12" s="88" t="s">
        <v>13</v>
      </c>
      <c r="E12" s="89"/>
      <c r="F12" s="90">
        <v>50</v>
      </c>
      <c r="G12" s="90">
        <v>5000</v>
      </c>
      <c r="H12" s="90">
        <f>E12*F12-G12*F12</f>
        <v>-250000</v>
      </c>
    </row>
    <row r="13" spans="2:8" x14ac:dyDescent="0.2">
      <c r="B13" s="141"/>
      <c r="C13" s="141"/>
      <c r="D13" s="30" t="s">
        <v>12</v>
      </c>
      <c r="E13" s="84"/>
      <c r="F13" s="84"/>
      <c r="G13" s="84"/>
      <c r="H13" s="84"/>
    </row>
    <row r="14" spans="2:8" x14ac:dyDescent="0.2">
      <c r="B14" s="157"/>
      <c r="C14" s="157"/>
      <c r="D14" s="22" t="s">
        <v>11</v>
      </c>
      <c r="E14" s="76"/>
      <c r="F14" s="76"/>
      <c r="G14" s="76"/>
      <c r="H14" s="76"/>
    </row>
    <row r="15" spans="2:8" ht="13.5" thickBot="1" x14ac:dyDescent="0.25">
      <c r="E15" s="27"/>
      <c r="F15" s="27"/>
      <c r="H15" s="100">
        <f>SUM(H4:H14)</f>
        <v>-336000</v>
      </c>
    </row>
    <row r="16" spans="2:8" ht="13.5" thickTop="1" x14ac:dyDescent="0.2"/>
  </sheetData>
  <mergeCells count="2">
    <mergeCell ref="B4:B14"/>
    <mergeCell ref="C4:C14"/>
  </mergeCells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45637-8E7D-4347-80B1-7E2AADD2B30B}">
  <dimension ref="B2:J16"/>
  <sheetViews>
    <sheetView showGridLines="0" workbookViewId="0"/>
  </sheetViews>
  <sheetFormatPr defaultRowHeight="12.75" x14ac:dyDescent="0.2"/>
  <cols>
    <col min="2" max="3" width="3.28515625" bestFit="1" customWidth="1"/>
    <col min="4" max="4" width="19.5703125" bestFit="1" customWidth="1"/>
    <col min="5" max="5" width="10.5703125" bestFit="1" customWidth="1"/>
    <col min="6" max="6" width="7.5703125" bestFit="1" customWidth="1"/>
    <col min="7" max="7" width="8.28515625" bestFit="1" customWidth="1"/>
    <col min="8" max="8" width="9.28515625" bestFit="1" customWidth="1"/>
    <col min="9" max="9" width="8.28515625" bestFit="1" customWidth="1"/>
    <col min="10" max="10" width="7.5703125" bestFit="1" customWidth="1"/>
  </cols>
  <sheetData>
    <row r="2" spans="2:10" x14ac:dyDescent="0.2">
      <c r="D2" s="26" t="s">
        <v>29</v>
      </c>
    </row>
    <row r="3" spans="2:10" x14ac:dyDescent="0.2">
      <c r="E3" s="77" t="s">
        <v>28</v>
      </c>
      <c r="F3" s="78" t="s">
        <v>24</v>
      </c>
      <c r="G3" s="78" t="s">
        <v>27</v>
      </c>
      <c r="H3" s="79" t="s">
        <v>26</v>
      </c>
    </row>
    <row r="4" spans="2:10" x14ac:dyDescent="0.2">
      <c r="B4" s="156" t="s">
        <v>19</v>
      </c>
      <c r="C4" s="156" t="s">
        <v>20</v>
      </c>
      <c r="D4" s="22" t="s">
        <v>9</v>
      </c>
      <c r="E4" s="72"/>
      <c r="F4" s="72"/>
      <c r="G4" s="72"/>
      <c r="H4" s="72"/>
    </row>
    <row r="5" spans="2:10" x14ac:dyDescent="0.2">
      <c r="B5" s="141"/>
      <c r="C5" s="141"/>
      <c r="D5" s="22" t="s">
        <v>8</v>
      </c>
      <c r="E5" s="73"/>
      <c r="F5" s="73">
        <v>750</v>
      </c>
      <c r="G5" s="73">
        <v>100</v>
      </c>
      <c r="H5" s="73">
        <f>E5*F5-G5*F5</f>
        <v>-75000</v>
      </c>
    </row>
    <row r="6" spans="2:10" ht="13.5" thickBot="1" x14ac:dyDescent="0.25">
      <c r="B6" s="141"/>
      <c r="C6" s="141"/>
      <c r="D6" s="39" t="s">
        <v>23</v>
      </c>
      <c r="E6" s="92">
        <v>1000</v>
      </c>
      <c r="F6" s="92">
        <v>250</v>
      </c>
      <c r="G6" s="92">
        <v>2500</v>
      </c>
      <c r="H6" s="92">
        <f>E6*F6-G6*F6</f>
        <v>-375000</v>
      </c>
    </row>
    <row r="7" spans="2:10" x14ac:dyDescent="0.2">
      <c r="B7" s="141"/>
      <c r="C7" s="141"/>
      <c r="D7" s="45" t="s">
        <v>18</v>
      </c>
      <c r="E7" s="94"/>
      <c r="F7" s="94">
        <v>300000</v>
      </c>
      <c r="G7" s="94"/>
      <c r="H7" s="94"/>
    </row>
    <row r="8" spans="2:10" x14ac:dyDescent="0.2">
      <c r="B8" s="141"/>
      <c r="C8" s="141"/>
      <c r="D8" s="46" t="s">
        <v>17</v>
      </c>
      <c r="E8" s="75">
        <v>9600</v>
      </c>
      <c r="F8" s="73">
        <v>340</v>
      </c>
      <c r="G8" s="74">
        <v>2500</v>
      </c>
      <c r="H8" s="73">
        <f t="shared" ref="H8:H13" si="0">E8*F8-G8*F8</f>
        <v>2414000</v>
      </c>
    </row>
    <row r="9" spans="2:10" x14ac:dyDescent="0.2">
      <c r="B9" s="141"/>
      <c r="C9" s="141"/>
      <c r="D9" s="48" t="s">
        <v>22</v>
      </c>
      <c r="E9" s="73"/>
      <c r="F9" s="74">
        <v>25</v>
      </c>
      <c r="G9" s="73">
        <v>15000</v>
      </c>
      <c r="H9" s="73">
        <f t="shared" si="0"/>
        <v>-375000</v>
      </c>
    </row>
    <row r="10" spans="2:10" x14ac:dyDescent="0.2">
      <c r="B10" s="141"/>
      <c r="C10" s="141"/>
      <c r="D10" s="46" t="s">
        <v>16</v>
      </c>
      <c r="E10" s="73"/>
      <c r="F10" s="73">
        <v>15</v>
      </c>
      <c r="G10" s="73">
        <v>20000</v>
      </c>
      <c r="H10" s="73">
        <f t="shared" si="0"/>
        <v>-300000</v>
      </c>
    </row>
    <row r="11" spans="2:10" ht="13.5" thickBot="1" x14ac:dyDescent="0.25">
      <c r="B11" s="141"/>
      <c r="C11" s="141"/>
      <c r="D11" s="47" t="s">
        <v>14</v>
      </c>
      <c r="E11" s="96"/>
      <c r="F11" s="96">
        <v>10</v>
      </c>
      <c r="G11" s="96">
        <v>50000</v>
      </c>
      <c r="H11" s="96">
        <f t="shared" si="0"/>
        <v>-500000</v>
      </c>
    </row>
    <row r="12" spans="2:10" x14ac:dyDescent="0.2">
      <c r="B12" s="141"/>
      <c r="C12" s="141"/>
      <c r="D12" s="43" t="s">
        <v>13</v>
      </c>
      <c r="E12" s="84"/>
      <c r="F12" s="95">
        <v>5</v>
      </c>
      <c r="G12" s="95">
        <v>50000</v>
      </c>
      <c r="H12" s="95">
        <f t="shared" si="0"/>
        <v>-250000</v>
      </c>
    </row>
    <row r="13" spans="2:10" x14ac:dyDescent="0.2">
      <c r="B13" s="141"/>
      <c r="C13" s="141"/>
      <c r="D13" s="56" t="s">
        <v>12</v>
      </c>
      <c r="E13" s="73"/>
      <c r="F13" s="74">
        <v>3</v>
      </c>
      <c r="G13" s="74">
        <v>125000</v>
      </c>
      <c r="H13" s="74">
        <f t="shared" si="0"/>
        <v>-375000</v>
      </c>
    </row>
    <row r="14" spans="2:10" x14ac:dyDescent="0.2">
      <c r="B14" s="157"/>
      <c r="C14" s="157"/>
      <c r="D14" s="22" t="s">
        <v>11</v>
      </c>
      <c r="E14" s="76"/>
      <c r="F14" s="76"/>
      <c r="G14" s="76"/>
      <c r="H14" s="76"/>
    </row>
    <row r="15" spans="2:10" ht="13.5" thickBot="1" x14ac:dyDescent="0.25">
      <c r="E15" s="27"/>
      <c r="F15" s="27"/>
      <c r="H15" s="100">
        <f>SUM(H4:H14)</f>
        <v>164000</v>
      </c>
      <c r="J15" s="27"/>
    </row>
    <row r="16" spans="2:10" ht="13.5" thickTop="1" x14ac:dyDescent="0.2"/>
  </sheetData>
  <mergeCells count="2">
    <mergeCell ref="B4:B14"/>
    <mergeCell ref="C4:C14"/>
  </mergeCells>
  <pageMargins left="0.75" right="0.75" top="1" bottom="1" header="0.5" footer="0.5"/>
  <pageSetup paperSize="9" orientation="landscape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721BA-38A1-4F3F-BE90-2315E76F99C9}">
  <dimension ref="B2:K15"/>
  <sheetViews>
    <sheetView showGridLines="0" workbookViewId="0"/>
  </sheetViews>
  <sheetFormatPr defaultRowHeight="12.75" x14ac:dyDescent="0.2"/>
  <cols>
    <col min="1" max="1" width="9.7109375" customWidth="1"/>
    <col min="2" max="3" width="3.42578125" bestFit="1" customWidth="1"/>
    <col min="4" max="4" width="19" bestFit="1" customWidth="1"/>
    <col min="5" max="5" width="11" bestFit="1" customWidth="1"/>
    <col min="6" max="6" width="7.85546875" bestFit="1" customWidth="1"/>
    <col min="7" max="7" width="9.5703125" bestFit="1" customWidth="1"/>
    <col min="8" max="8" width="10.140625" bestFit="1" customWidth="1"/>
    <col min="9" max="10" width="9.5703125" bestFit="1" customWidth="1"/>
  </cols>
  <sheetData>
    <row r="2" spans="2:11" x14ac:dyDescent="0.2">
      <c r="D2" t="s">
        <v>30</v>
      </c>
    </row>
    <row r="3" spans="2:11" x14ac:dyDescent="0.2">
      <c r="E3" s="77" t="s">
        <v>28</v>
      </c>
      <c r="F3" s="78" t="s">
        <v>24</v>
      </c>
      <c r="G3" s="78" t="s">
        <v>27</v>
      </c>
      <c r="H3" s="79" t="s">
        <v>26</v>
      </c>
    </row>
    <row r="4" spans="2:11" x14ac:dyDescent="0.2">
      <c r="B4" s="156" t="s">
        <v>19</v>
      </c>
      <c r="C4" s="156" t="s">
        <v>20</v>
      </c>
      <c r="D4" s="56" t="s">
        <v>9</v>
      </c>
      <c r="E4" s="80">
        <v>50</v>
      </c>
      <c r="F4" s="81">
        <v>10000</v>
      </c>
      <c r="G4" s="80">
        <v>5</v>
      </c>
      <c r="H4" s="81">
        <f>E4*F4-G4*F4</f>
        <v>450000</v>
      </c>
    </row>
    <row r="5" spans="2:11" x14ac:dyDescent="0.2">
      <c r="B5" s="141"/>
      <c r="C5" s="141"/>
      <c r="D5" s="22" t="s">
        <v>8</v>
      </c>
      <c r="E5" s="75"/>
      <c r="F5" s="75">
        <v>1000</v>
      </c>
      <c r="G5" s="75">
        <v>50</v>
      </c>
      <c r="H5" s="75">
        <f>E5*F5-G5*F5</f>
        <v>-50000</v>
      </c>
    </row>
    <row r="6" spans="2:11" ht="13.5" thickBot="1" x14ac:dyDescent="0.25">
      <c r="B6" s="141"/>
      <c r="C6" s="141"/>
      <c r="D6" s="39" t="s">
        <v>23</v>
      </c>
      <c r="E6" s="92">
        <v>0</v>
      </c>
      <c r="F6" s="92">
        <v>350</v>
      </c>
      <c r="G6" s="92">
        <v>250</v>
      </c>
      <c r="H6" s="92">
        <f>E6*F6-G6*F6</f>
        <v>-87500</v>
      </c>
    </row>
    <row r="7" spans="2:11" x14ac:dyDescent="0.2">
      <c r="B7" s="141"/>
      <c r="C7" s="141"/>
      <c r="D7" s="45" t="s">
        <v>18</v>
      </c>
      <c r="E7" s="98"/>
      <c r="F7" s="98">
        <v>300000</v>
      </c>
      <c r="G7" s="98"/>
      <c r="H7" s="98"/>
    </row>
    <row r="8" spans="2:11" x14ac:dyDescent="0.2">
      <c r="B8" s="141"/>
      <c r="C8" s="141"/>
      <c r="D8" s="46" t="s">
        <v>17</v>
      </c>
      <c r="E8" s="75">
        <v>9600</v>
      </c>
      <c r="F8" s="75">
        <v>500</v>
      </c>
      <c r="G8" s="75">
        <v>1500</v>
      </c>
      <c r="H8" s="75">
        <f t="shared" ref="H8:H14" si="0">E8*F8-G8*F8</f>
        <v>4050000</v>
      </c>
    </row>
    <row r="9" spans="2:11" x14ac:dyDescent="0.2">
      <c r="B9" s="141"/>
      <c r="C9" s="141"/>
      <c r="D9" s="46" t="s">
        <v>22</v>
      </c>
      <c r="E9" s="75"/>
      <c r="F9" s="75">
        <v>30</v>
      </c>
      <c r="G9" s="75">
        <v>5000</v>
      </c>
      <c r="H9" s="75">
        <f t="shared" si="0"/>
        <v>-150000</v>
      </c>
    </row>
    <row r="10" spans="2:11" x14ac:dyDescent="0.2">
      <c r="B10" s="141"/>
      <c r="C10" s="141"/>
      <c r="D10" s="46" t="s">
        <v>16</v>
      </c>
      <c r="E10" s="75"/>
      <c r="F10" s="75">
        <v>25</v>
      </c>
      <c r="G10" s="75">
        <v>15000</v>
      </c>
      <c r="H10" s="75">
        <f t="shared" si="0"/>
        <v>-375000</v>
      </c>
    </row>
    <row r="11" spans="2:11" ht="13.5" thickBot="1" x14ac:dyDescent="0.25">
      <c r="B11" s="141"/>
      <c r="C11" s="141"/>
      <c r="D11" s="47" t="s">
        <v>14</v>
      </c>
      <c r="E11" s="99"/>
      <c r="F11" s="99">
        <v>15</v>
      </c>
      <c r="G11" s="99">
        <v>20000</v>
      </c>
      <c r="H11" s="99">
        <f t="shared" si="0"/>
        <v>-300000</v>
      </c>
    </row>
    <row r="12" spans="2:11" x14ac:dyDescent="0.2">
      <c r="B12" s="141"/>
      <c r="C12" s="141"/>
      <c r="D12" s="30" t="s">
        <v>13</v>
      </c>
      <c r="E12" s="97"/>
      <c r="F12" s="97">
        <v>10</v>
      </c>
      <c r="G12" s="97">
        <v>50000</v>
      </c>
      <c r="H12" s="97">
        <f t="shared" si="0"/>
        <v>-500000</v>
      </c>
    </row>
    <row r="13" spans="2:11" x14ac:dyDescent="0.2">
      <c r="B13" s="141"/>
      <c r="C13" s="141"/>
      <c r="D13" s="22" t="s">
        <v>12</v>
      </c>
      <c r="E13" s="75"/>
      <c r="F13" s="75">
        <v>5</v>
      </c>
      <c r="G13" s="75">
        <v>125000</v>
      </c>
      <c r="H13" s="75">
        <f t="shared" si="0"/>
        <v>-625000</v>
      </c>
      <c r="K13" s="26"/>
    </row>
    <row r="14" spans="2:11" x14ac:dyDescent="0.2">
      <c r="B14" s="157"/>
      <c r="C14" s="157"/>
      <c r="D14" s="56" t="s">
        <v>11</v>
      </c>
      <c r="E14" s="82"/>
      <c r="F14" s="83">
        <v>1</v>
      </c>
      <c r="G14" s="83">
        <v>1000000</v>
      </c>
      <c r="H14" s="83">
        <f t="shared" si="0"/>
        <v>-1000000</v>
      </c>
    </row>
    <row r="15" spans="2:11" x14ac:dyDescent="0.2">
      <c r="E15" s="27"/>
      <c r="F15" s="27"/>
      <c r="H15" s="101">
        <f>SUM(H4:H14)</f>
        <v>1412500</v>
      </c>
      <c r="J15" s="27"/>
    </row>
  </sheetData>
  <mergeCells count="2">
    <mergeCell ref="B4:B14"/>
    <mergeCell ref="C4:C14"/>
  </mergeCells>
  <pageMargins left="0.75" right="0.75" top="1" bottom="1" header="0.5" footer="0.5"/>
  <pageSetup paperSize="9" orientation="landscape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1F9C1-3E2C-4EA2-ABEE-AD87C8BA4CE3}">
  <sheetPr>
    <pageSetUpPr fitToPage="1"/>
  </sheetPr>
  <dimension ref="B2:J14"/>
  <sheetViews>
    <sheetView showGridLines="0" workbookViewId="0"/>
  </sheetViews>
  <sheetFormatPr defaultRowHeight="12.75" x14ac:dyDescent="0.2"/>
  <cols>
    <col min="2" max="3" width="3.28515625" customWidth="1"/>
    <col min="4" max="4" width="17.140625" bestFit="1" customWidth="1"/>
    <col min="5" max="5" width="16.140625" bestFit="1" customWidth="1"/>
    <col min="6" max="6" width="14.42578125" customWidth="1"/>
    <col min="7" max="7" width="17.5703125" bestFit="1" customWidth="1"/>
    <col min="8" max="8" width="18.140625" customWidth="1"/>
    <col min="9" max="9" width="12.85546875" customWidth="1"/>
  </cols>
  <sheetData>
    <row r="2" spans="2:10" ht="13.5" thickBot="1" x14ac:dyDescent="0.25"/>
    <row r="3" spans="2:10" ht="21" customHeight="1" thickBot="1" x14ac:dyDescent="0.25">
      <c r="J3" s="117" t="s">
        <v>0</v>
      </c>
    </row>
    <row r="4" spans="2:10" ht="21" customHeight="1" x14ac:dyDescent="0.2">
      <c r="B4" s="124" t="s">
        <v>19</v>
      </c>
      <c r="C4" s="124" t="s">
        <v>20</v>
      </c>
      <c r="D4" s="21" t="s">
        <v>9</v>
      </c>
      <c r="E4" s="7"/>
      <c r="F4" s="7"/>
      <c r="G4" s="7"/>
      <c r="H4" s="7"/>
      <c r="I4" s="7"/>
      <c r="J4" s="115" t="s">
        <v>1</v>
      </c>
    </row>
    <row r="5" spans="2:10" ht="21" customHeight="1" x14ac:dyDescent="0.2">
      <c r="B5" s="124"/>
      <c r="C5" s="124"/>
      <c r="D5" s="21" t="s">
        <v>8</v>
      </c>
      <c r="E5" s="12"/>
      <c r="F5" s="12"/>
      <c r="G5" s="12"/>
      <c r="H5" s="10"/>
      <c r="J5" s="115" t="s">
        <v>1</v>
      </c>
    </row>
    <row r="6" spans="2:10" ht="21" customHeight="1" thickBot="1" x14ac:dyDescent="0.25">
      <c r="B6" s="124"/>
      <c r="C6" s="124"/>
      <c r="D6" s="21" t="s">
        <v>23</v>
      </c>
      <c r="E6" s="14"/>
      <c r="F6" s="14"/>
      <c r="G6" s="14"/>
      <c r="H6" s="20"/>
      <c r="J6" s="118" t="s">
        <v>1</v>
      </c>
    </row>
    <row r="7" spans="2:10" ht="21" customHeight="1" x14ac:dyDescent="0.2">
      <c r="B7" s="124"/>
      <c r="C7" s="124"/>
      <c r="D7" s="125" t="s">
        <v>21</v>
      </c>
      <c r="E7" s="6"/>
      <c r="F7" s="6"/>
      <c r="G7" s="6"/>
      <c r="H7" s="6"/>
      <c r="I7" s="114" t="s">
        <v>18</v>
      </c>
      <c r="J7" s="111" t="s">
        <v>2</v>
      </c>
    </row>
    <row r="8" spans="2:10" ht="21" customHeight="1" x14ac:dyDescent="0.2">
      <c r="B8" s="124"/>
      <c r="C8" s="124"/>
      <c r="D8" s="125"/>
      <c r="H8" s="5" t="s">
        <v>17</v>
      </c>
      <c r="J8" s="64" t="s">
        <v>10</v>
      </c>
    </row>
    <row r="9" spans="2:10" ht="21" customHeight="1" x14ac:dyDescent="0.2">
      <c r="B9" s="124"/>
      <c r="C9" s="124"/>
      <c r="D9" s="125"/>
      <c r="G9" s="5" t="s">
        <v>22</v>
      </c>
      <c r="J9" s="64" t="s">
        <v>3</v>
      </c>
    </row>
    <row r="10" spans="2:10" ht="21" customHeight="1" x14ac:dyDescent="0.2">
      <c r="B10" s="124"/>
      <c r="C10" s="124"/>
      <c r="D10" s="125"/>
      <c r="F10" s="5" t="s">
        <v>16</v>
      </c>
      <c r="J10" s="64" t="s">
        <v>4</v>
      </c>
    </row>
    <row r="11" spans="2:10" ht="21" customHeight="1" thickBot="1" x14ac:dyDescent="0.25">
      <c r="B11" s="124"/>
      <c r="C11" s="124"/>
      <c r="D11" s="125"/>
      <c r="E11" s="28" t="s">
        <v>14</v>
      </c>
      <c r="F11" s="2"/>
      <c r="G11" s="2"/>
      <c r="H11" s="2"/>
      <c r="I11" s="2"/>
      <c r="J11" s="112" t="s">
        <v>15</v>
      </c>
    </row>
    <row r="12" spans="2:10" ht="21" customHeight="1" x14ac:dyDescent="0.2">
      <c r="B12" s="124"/>
      <c r="C12" s="124"/>
      <c r="D12" s="21" t="s">
        <v>13</v>
      </c>
      <c r="E12" s="15"/>
      <c r="F12" s="15"/>
      <c r="G12" s="15"/>
      <c r="H12" s="19"/>
      <c r="J12" s="119" t="s">
        <v>5</v>
      </c>
    </row>
    <row r="13" spans="2:10" ht="21" customHeight="1" x14ac:dyDescent="0.2">
      <c r="B13" s="124"/>
      <c r="C13" s="124"/>
      <c r="D13" s="21" t="s">
        <v>12</v>
      </c>
      <c r="E13" s="16"/>
      <c r="F13" s="16"/>
      <c r="G13" s="17"/>
      <c r="H13" s="20"/>
      <c r="J13" s="115" t="s">
        <v>6</v>
      </c>
    </row>
    <row r="14" spans="2:10" ht="21" customHeight="1" thickBot="1" x14ac:dyDescent="0.25">
      <c r="B14" s="124"/>
      <c r="C14" s="124"/>
      <c r="D14" s="21" t="s">
        <v>11</v>
      </c>
      <c r="E14" s="29"/>
      <c r="F14" s="18"/>
      <c r="G14" s="2"/>
      <c r="H14" s="2"/>
      <c r="I14" s="2"/>
      <c r="J14" s="116" t="s">
        <v>7</v>
      </c>
    </row>
  </sheetData>
  <mergeCells count="3">
    <mergeCell ref="B4:B14"/>
    <mergeCell ref="C4:C14"/>
    <mergeCell ref="D7:D11"/>
  </mergeCells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StartPage</vt:lpstr>
      <vt:lpstr>Management</vt:lpstr>
      <vt:lpstr>Competence</vt:lpstr>
      <vt:lpstr>Organization</vt:lpstr>
      <vt:lpstr>Product</vt:lpstr>
      <vt:lpstr>Product-SuppFunc</vt:lpstr>
      <vt:lpstr>Product-Platform</vt:lpstr>
      <vt:lpstr>Product-ApplPlatf</vt:lpstr>
      <vt:lpstr>Product-Appl</vt:lpstr>
      <vt:lpstr>Product-User</vt:lpstr>
      <vt:lpstr>Org.Support</vt:lpstr>
      <vt:lpstr>Org.Sales</vt:lpstr>
      <vt:lpstr>Org.Deployment</vt:lpstr>
      <vt:lpstr>Org.TechGrps</vt:lpstr>
      <vt:lpstr>Org.Dev</vt:lpstr>
      <vt:lpstr>Org.Research</vt:lpstr>
      <vt:lpstr>Budget 2001</vt:lpstr>
      <vt:lpstr> Budget 2002</vt:lpstr>
      <vt:lpstr>Budget 2003</vt:lpstr>
      <vt:lpstr>Time-Line</vt:lpstr>
    </vt:vector>
  </TitlesOfParts>
  <Company>Nedecon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Lind</dc:creator>
  <cp:lastModifiedBy>Tomi Lind</cp:lastModifiedBy>
  <cp:lastPrinted>2026-09-08T16:10:13Z</cp:lastPrinted>
  <dcterms:created xsi:type="dcterms:W3CDTF">2001-07-09T06:32:01Z</dcterms:created>
  <dcterms:modified xsi:type="dcterms:W3CDTF">2026-09-08T16:10:24Z</dcterms:modified>
</cp:coreProperties>
</file>